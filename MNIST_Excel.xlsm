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ython\Keras\MNIST Excel\"/>
    </mc:Choice>
  </mc:AlternateContent>
  <xr:revisionPtr revIDLastSave="0" documentId="13_ncr:1_{E0E49329-CD2F-4892-82BB-BB873B185409}" xr6:coauthVersionLast="45" xr6:coauthVersionMax="45" xr10:uidLastSave="{00000000-0000-0000-0000-000000000000}"/>
  <bookViews>
    <workbookView xWindow="-108" yWindow="-108" windowWidth="23256" windowHeight="12576" xr2:uid="{7098B342-AC1C-4A27-85F8-34C2E549C38F}"/>
  </bookViews>
  <sheets>
    <sheet name="Board" sheetId="4" r:id="rId1"/>
    <sheet name="ReLU" sheetId="2" r:id="rId2"/>
    <sheet name="Softmax" sheetId="6" r:id="rId3"/>
    <sheet name="Input" sheetId="5" r:id="rId4"/>
  </sheets>
  <definedNames>
    <definedName name="board">Board!$B$2:$M$13</definedName>
    <definedName name="Input">Table6[]</definedName>
    <definedName name="myd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7" i="2" l="1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DZ155" i="2" l="1" a="1"/>
  <c r="DZ155" i="2" s="1"/>
  <c r="A131" i="6" s="1"/>
  <c r="DR155" i="2" a="1"/>
  <c r="DR155" i="2" s="1"/>
  <c r="A123" i="6" s="1"/>
  <c r="DJ155" i="2" a="1"/>
  <c r="DJ155" i="2" s="1"/>
  <c r="A115" i="6" s="1"/>
  <c r="DB155" i="2" a="1"/>
  <c r="DB155" i="2" s="1"/>
  <c r="A107" i="6" s="1"/>
  <c r="CT155" i="2" a="1"/>
  <c r="CT155" i="2" s="1"/>
  <c r="A99" i="6" s="1"/>
  <c r="CL155" i="2" a="1"/>
  <c r="CL155" i="2" s="1"/>
  <c r="A91" i="6" s="1"/>
  <c r="CD155" i="2" a="1"/>
  <c r="CD155" i="2" s="1"/>
  <c r="A83" i="6" s="1"/>
  <c r="BV155" i="2" a="1"/>
  <c r="BV155" i="2" s="1"/>
  <c r="A75" i="6" s="1"/>
  <c r="BN155" i="2" a="1"/>
  <c r="BN155" i="2" s="1"/>
  <c r="A67" i="6" s="1"/>
  <c r="BF155" i="2" a="1"/>
  <c r="BF155" i="2" s="1"/>
  <c r="A59" i="6" s="1"/>
  <c r="DK155" i="2" a="1"/>
  <c r="DK155" i="2" s="1"/>
  <c r="A116" i="6" s="1"/>
  <c r="BG155" i="2" a="1"/>
  <c r="BG155" i="2" s="1"/>
  <c r="A60" i="6" s="1"/>
  <c r="DY155" i="2" a="1"/>
  <c r="DY155" i="2" s="1"/>
  <c r="A130" i="6" s="1"/>
  <c r="DQ155" i="2" a="1"/>
  <c r="DQ155" i="2" s="1"/>
  <c r="A122" i="6" s="1"/>
  <c r="DI155" i="2" a="1"/>
  <c r="DI155" i="2" s="1"/>
  <c r="A114" i="6" s="1"/>
  <c r="DA155" i="2" a="1"/>
  <c r="DA155" i="2" s="1"/>
  <c r="A106" i="6" s="1"/>
  <c r="CS155" i="2" a="1"/>
  <c r="CS155" i="2" s="1"/>
  <c r="A98" i="6" s="1"/>
  <c r="CK155" i="2" a="1"/>
  <c r="CK155" i="2" s="1"/>
  <c r="A90" i="6" s="1"/>
  <c r="CC155" i="2" a="1"/>
  <c r="CC155" i="2" s="1"/>
  <c r="A82" i="6" s="1"/>
  <c r="BU155" i="2" a="1"/>
  <c r="BU155" i="2" s="1"/>
  <c r="A74" i="6" s="1"/>
  <c r="BM155" i="2" a="1"/>
  <c r="BM155" i="2" s="1"/>
  <c r="A66" i="6" s="1"/>
  <c r="BE155" i="2" a="1"/>
  <c r="BE155" i="2" s="1"/>
  <c r="A58" i="6" s="1"/>
  <c r="CU155" i="2" a="1"/>
  <c r="CU155" i="2" s="1"/>
  <c r="A100" i="6" s="1"/>
  <c r="DX155" i="2" a="1"/>
  <c r="DX155" i="2" s="1"/>
  <c r="A129" i="6" s="1"/>
  <c r="DP155" i="2" a="1"/>
  <c r="DP155" i="2" s="1"/>
  <c r="A121" i="6" s="1"/>
  <c r="DH155" i="2" a="1"/>
  <c r="DH155" i="2" s="1"/>
  <c r="A113" i="6" s="1"/>
  <c r="CZ155" i="2" a="1"/>
  <c r="CZ155" i="2" s="1"/>
  <c r="A105" i="6" s="1"/>
  <c r="CR155" i="2" a="1"/>
  <c r="CR155" i="2" s="1"/>
  <c r="A97" i="6" s="1"/>
  <c r="CJ155" i="2" a="1"/>
  <c r="CJ155" i="2" s="1"/>
  <c r="A89" i="6" s="1"/>
  <c r="CB155" i="2" a="1"/>
  <c r="CB155" i="2" s="1"/>
  <c r="A81" i="6" s="1"/>
  <c r="BT155" i="2" a="1"/>
  <c r="BT155" i="2" s="1"/>
  <c r="A73" i="6" s="1"/>
  <c r="BL155" i="2" a="1"/>
  <c r="BL155" i="2" s="1"/>
  <c r="A65" i="6" s="1"/>
  <c r="BD155" i="2" a="1"/>
  <c r="BD155" i="2" s="1"/>
  <c r="A57" i="6" s="1"/>
  <c r="CM155" i="2" a="1"/>
  <c r="CM155" i="2" s="1"/>
  <c r="A92" i="6" s="1"/>
  <c r="DW155" i="2" a="1"/>
  <c r="DW155" i="2" s="1"/>
  <c r="A128" i="6" s="1"/>
  <c r="DO155" i="2" a="1"/>
  <c r="DO155" i="2" s="1"/>
  <c r="A120" i="6" s="1"/>
  <c r="DG155" i="2" a="1"/>
  <c r="DG155" i="2" s="1"/>
  <c r="A112" i="6" s="1"/>
  <c r="CY155" i="2" a="1"/>
  <c r="CY155" i="2" s="1"/>
  <c r="A104" i="6" s="1"/>
  <c r="CQ155" i="2" a="1"/>
  <c r="CQ155" i="2" s="1"/>
  <c r="A96" i="6" s="1"/>
  <c r="CI155" i="2" a="1"/>
  <c r="CI155" i="2" s="1"/>
  <c r="A88" i="6" s="1"/>
  <c r="CA155" i="2" a="1"/>
  <c r="CA155" i="2" s="1"/>
  <c r="A80" i="6" s="1"/>
  <c r="BS155" i="2" a="1"/>
  <c r="BS155" i="2" s="1"/>
  <c r="A72" i="6" s="1"/>
  <c r="BK155" i="2" a="1"/>
  <c r="BK155" i="2" s="1"/>
  <c r="A64" i="6" s="1"/>
  <c r="BC155" i="2" a="1"/>
  <c r="BC155" i="2" s="1"/>
  <c r="A56" i="6" s="1"/>
  <c r="BO155" i="2" a="1"/>
  <c r="BO155" i="2" s="1"/>
  <c r="A68" i="6" s="1"/>
  <c r="DV155" i="2" a="1"/>
  <c r="DV155" i="2" s="1"/>
  <c r="A127" i="6" s="1"/>
  <c r="DN155" i="2" a="1"/>
  <c r="DN155" i="2" s="1"/>
  <c r="A119" i="6" s="1"/>
  <c r="DF155" i="2" a="1"/>
  <c r="DF155" i="2" s="1"/>
  <c r="A111" i="6" s="1"/>
  <c r="CX155" i="2" a="1"/>
  <c r="CX155" i="2" s="1"/>
  <c r="A103" i="6" s="1"/>
  <c r="CP155" i="2" a="1"/>
  <c r="CP155" i="2" s="1"/>
  <c r="A95" i="6" s="1"/>
  <c r="CH155" i="2" a="1"/>
  <c r="CH155" i="2" s="1"/>
  <c r="A87" i="6" s="1"/>
  <c r="BZ155" i="2" a="1"/>
  <c r="BZ155" i="2" s="1"/>
  <c r="A79" i="6" s="1"/>
  <c r="BR155" i="2" a="1"/>
  <c r="BR155" i="2" s="1"/>
  <c r="A71" i="6" s="1"/>
  <c r="BJ155" i="2" a="1"/>
  <c r="BJ155" i="2" s="1"/>
  <c r="A63" i="6" s="1"/>
  <c r="BB155" i="2" a="1"/>
  <c r="BB155" i="2" s="1"/>
  <c r="A55" i="6" s="1"/>
  <c r="DC155" i="2" a="1"/>
  <c r="DC155" i="2" s="1"/>
  <c r="A108" i="6" s="1"/>
  <c r="DU155" i="2" a="1"/>
  <c r="DU155" i="2" s="1"/>
  <c r="A126" i="6" s="1"/>
  <c r="DM155" i="2" a="1"/>
  <c r="DM155" i="2" s="1"/>
  <c r="A118" i="6" s="1"/>
  <c r="DE155" i="2" a="1"/>
  <c r="DE155" i="2" s="1"/>
  <c r="A110" i="6" s="1"/>
  <c r="CW155" i="2" a="1"/>
  <c r="CW155" i="2" s="1"/>
  <c r="A102" i="6" s="1"/>
  <c r="CO155" i="2" a="1"/>
  <c r="CO155" i="2" s="1"/>
  <c r="A94" i="6" s="1"/>
  <c r="CG155" i="2" a="1"/>
  <c r="CG155" i="2" s="1"/>
  <c r="A86" i="6" s="1"/>
  <c r="BY155" i="2" a="1"/>
  <c r="BY155" i="2" s="1"/>
  <c r="A78" i="6" s="1"/>
  <c r="BQ155" i="2" a="1"/>
  <c r="BQ155" i="2" s="1"/>
  <c r="A70" i="6" s="1"/>
  <c r="BI155" i="2" a="1"/>
  <c r="BI155" i="2" s="1"/>
  <c r="A62" i="6" s="1"/>
  <c r="BA155" i="2" a="1"/>
  <c r="BA155" i="2" s="1"/>
  <c r="A54" i="6" s="1"/>
  <c r="BW155" i="2" a="1"/>
  <c r="BW155" i="2" s="1"/>
  <c r="A76" i="6" s="1"/>
  <c r="DT155" i="2" a="1"/>
  <c r="DT155" i="2" s="1"/>
  <c r="A125" i="6" s="1"/>
  <c r="DL155" i="2" a="1"/>
  <c r="DL155" i="2" s="1"/>
  <c r="A117" i="6" s="1"/>
  <c r="DD155" i="2" a="1"/>
  <c r="DD155" i="2" s="1"/>
  <c r="A109" i="6" s="1"/>
  <c r="CV155" i="2" a="1"/>
  <c r="CV155" i="2" s="1"/>
  <c r="A101" i="6" s="1"/>
  <c r="CN155" i="2" a="1"/>
  <c r="CN155" i="2" s="1"/>
  <c r="A93" i="6" s="1"/>
  <c r="CF155" i="2" a="1"/>
  <c r="CF155" i="2" s="1"/>
  <c r="A85" i="6" s="1"/>
  <c r="BX155" i="2" a="1"/>
  <c r="BX155" i="2" s="1"/>
  <c r="A77" i="6" s="1"/>
  <c r="BP155" i="2" a="1"/>
  <c r="BP155" i="2" s="1"/>
  <c r="A69" i="6" s="1"/>
  <c r="BH155" i="2" a="1"/>
  <c r="BH155" i="2" s="1"/>
  <c r="A61" i="6" s="1"/>
  <c r="DS155" i="2" a="1"/>
  <c r="DS155" i="2" s="1"/>
  <c r="A124" i="6" s="1"/>
  <c r="CE155" i="2" a="1"/>
  <c r="CE155" i="2" s="1"/>
  <c r="A84" i="6" s="1"/>
  <c r="C155" i="2" a="1"/>
  <c r="C155" i="2" s="1"/>
  <c r="A4" i="6" s="1"/>
  <c r="K155" i="2" a="1"/>
  <c r="K155" i="2" s="1"/>
  <c r="A12" i="6" s="1"/>
  <c r="D155" i="2" a="1"/>
  <c r="D155" i="2" s="1"/>
  <c r="A5" i="6" s="1"/>
  <c r="E155" i="2" a="1"/>
  <c r="E155" i="2" s="1"/>
  <c r="A6" i="6" s="1"/>
  <c r="F155" i="2" a="1"/>
  <c r="F155" i="2" s="1"/>
  <c r="A7" i="6" s="1"/>
  <c r="G155" i="2" a="1"/>
  <c r="G155" i="2" s="1"/>
  <c r="A8" i="6" s="1"/>
  <c r="H155" i="2" a="1"/>
  <c r="H155" i="2" s="1"/>
  <c r="A9" i="6" s="1"/>
  <c r="I155" i="2" a="1"/>
  <c r="I155" i="2" s="1"/>
  <c r="A10" i="6" s="1"/>
  <c r="J155" i="2" a="1"/>
  <c r="J155" i="2" s="1"/>
  <c r="A11" i="6" s="1"/>
  <c r="L155" i="2" a="1"/>
  <c r="L155" i="2" s="1"/>
  <c r="A13" i="6" s="1"/>
  <c r="M155" i="2" a="1"/>
  <c r="M155" i="2" s="1"/>
  <c r="A14" i="6" s="1"/>
  <c r="N155" i="2" a="1"/>
  <c r="N155" i="2" s="1"/>
  <c r="A15" i="6" s="1"/>
  <c r="O155" i="2" a="1"/>
  <c r="O155" i="2" s="1"/>
  <c r="A16" i="6" s="1"/>
  <c r="P155" i="2" a="1"/>
  <c r="P155" i="2" s="1"/>
  <c r="A17" i="6" s="1"/>
  <c r="Q155" i="2" a="1"/>
  <c r="Q155" i="2" s="1"/>
  <c r="A18" i="6" s="1"/>
  <c r="R155" i="2" a="1"/>
  <c r="R155" i="2" s="1"/>
  <c r="A19" i="6" s="1"/>
  <c r="S155" i="2" a="1"/>
  <c r="S155" i="2" s="1"/>
  <c r="A20" i="6" s="1"/>
  <c r="T155" i="2" a="1"/>
  <c r="T155" i="2" s="1"/>
  <c r="A21" i="6" s="1"/>
  <c r="U155" i="2" a="1"/>
  <c r="U155" i="2" s="1"/>
  <c r="A22" i="6" s="1"/>
  <c r="V155" i="2" a="1"/>
  <c r="V155" i="2" s="1"/>
  <c r="A23" i="6" s="1"/>
  <c r="W155" i="2" a="1"/>
  <c r="W155" i="2" s="1"/>
  <c r="A24" i="6" s="1"/>
  <c r="X155" i="2" a="1"/>
  <c r="X155" i="2" s="1"/>
  <c r="A25" i="6" s="1"/>
  <c r="Y155" i="2" a="1"/>
  <c r="Y155" i="2" s="1"/>
  <c r="A26" i="6" s="1"/>
  <c r="Z155" i="2" a="1"/>
  <c r="Z155" i="2" s="1"/>
  <c r="A27" i="6" s="1"/>
  <c r="AA155" i="2" a="1"/>
  <c r="AA155" i="2" s="1"/>
  <c r="A28" i="6" s="1"/>
  <c r="AB155" i="2" a="1"/>
  <c r="AB155" i="2" s="1"/>
  <c r="A29" i="6" s="1"/>
  <c r="AC155" i="2" a="1"/>
  <c r="AC155" i="2" s="1"/>
  <c r="A30" i="6" s="1"/>
  <c r="AD155" i="2" a="1"/>
  <c r="AD155" i="2" s="1"/>
  <c r="A31" i="6" s="1"/>
  <c r="AE155" i="2" a="1"/>
  <c r="AE155" i="2" s="1"/>
  <c r="A32" i="6" s="1"/>
  <c r="AF155" i="2" a="1"/>
  <c r="AF155" i="2" s="1"/>
  <c r="A33" i="6" s="1"/>
  <c r="AG155" i="2" a="1"/>
  <c r="AG155" i="2" s="1"/>
  <c r="A34" i="6" s="1"/>
  <c r="AH155" i="2" a="1"/>
  <c r="AH155" i="2" s="1"/>
  <c r="A35" i="6" s="1"/>
  <c r="AI155" i="2" a="1"/>
  <c r="AI155" i="2" s="1"/>
  <c r="A36" i="6" s="1"/>
  <c r="AJ155" i="2" a="1"/>
  <c r="AJ155" i="2" s="1"/>
  <c r="A37" i="6" s="1"/>
  <c r="AK155" i="2" a="1"/>
  <c r="AK155" i="2" s="1"/>
  <c r="A38" i="6" s="1"/>
  <c r="AL155" i="2" a="1"/>
  <c r="AL155" i="2" s="1"/>
  <c r="A39" i="6" s="1"/>
  <c r="AM155" i="2" a="1"/>
  <c r="AM155" i="2" s="1"/>
  <c r="A40" i="6" s="1"/>
  <c r="AN155" i="2" a="1"/>
  <c r="AN155" i="2" s="1"/>
  <c r="A41" i="6" s="1"/>
  <c r="AO155" i="2" a="1"/>
  <c r="AO155" i="2" s="1"/>
  <c r="A42" i="6" s="1"/>
  <c r="AP155" i="2" a="1"/>
  <c r="AP155" i="2" s="1"/>
  <c r="A43" i="6" s="1"/>
  <c r="AQ155" i="2" a="1"/>
  <c r="AQ155" i="2" s="1"/>
  <c r="A44" i="6" s="1"/>
  <c r="AR155" i="2" a="1"/>
  <c r="AR155" i="2" s="1"/>
  <c r="A45" i="6" s="1"/>
  <c r="AS155" i="2" a="1"/>
  <c r="AS155" i="2" s="1"/>
  <c r="A46" i="6" s="1"/>
  <c r="AT155" i="2" a="1"/>
  <c r="AT155" i="2" s="1"/>
  <c r="A47" i="6" s="1"/>
  <c r="AU155" i="2" a="1"/>
  <c r="AU155" i="2" s="1"/>
  <c r="A48" i="6" s="1"/>
  <c r="AV155" i="2" a="1"/>
  <c r="AV155" i="2" s="1"/>
  <c r="A49" i="6" s="1"/>
  <c r="AW155" i="2" a="1"/>
  <c r="AW155" i="2" s="1"/>
  <c r="A50" i="6" s="1"/>
  <c r="AX155" i="2" a="1"/>
  <c r="AX155" i="2" s="1"/>
  <c r="A51" i="6" s="1"/>
  <c r="AY155" i="2" a="1"/>
  <c r="AY155" i="2" s="1"/>
  <c r="A52" i="6" s="1"/>
  <c r="AZ155" i="2" a="1"/>
  <c r="AZ155" i="2" s="1"/>
  <c r="A53" i="6" s="1"/>
  <c r="C139" i="6" l="1" a="1"/>
  <c r="C139" i="6" s="1"/>
  <c r="K139" i="6" a="1"/>
  <c r="K139" i="6" s="1"/>
  <c r="D139" i="6" a="1"/>
  <c r="D139" i="6" s="1"/>
  <c r="L139" i="6" a="1"/>
  <c r="L139" i="6" s="1"/>
  <c r="E139" i="6" a="1"/>
  <c r="E139" i="6" s="1"/>
  <c r="F139" i="6" a="1"/>
  <c r="F139" i="6" s="1"/>
  <c r="G139" i="6" a="1"/>
  <c r="G139" i="6" s="1"/>
  <c r="H139" i="6" a="1"/>
  <c r="H139" i="6" s="1"/>
  <c r="I139" i="6" a="1"/>
  <c r="I139" i="6" s="1"/>
  <c r="J139" i="6" a="1"/>
  <c r="J139" i="6" s="1"/>
  <c r="C142" i="6" l="1" a="1"/>
  <c r="C142" i="6" l="1"/>
  <c r="R10" i="4"/>
  <c r="R8" i="4"/>
  <c r="R7" i="4"/>
  <c r="R6" i="4"/>
  <c r="R5" i="4"/>
  <c r="R12" i="4"/>
  <c r="R11" i="4"/>
  <c r="R9" i="4"/>
  <c r="R4" i="4"/>
  <c r="R3" i="4" l="1"/>
  <c r="O3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<sst xmlns="http://schemas.openxmlformats.org/spreadsheetml/2006/main" count="575" uniqueCount="539">
  <si>
    <t>weights</t>
  </si>
  <si>
    <t>input</t>
  </si>
  <si>
    <t>output</t>
  </si>
  <si>
    <t>o1</t>
  </si>
  <si>
    <t>o2</t>
  </si>
  <si>
    <t>o3</t>
  </si>
  <si>
    <t>o4</t>
  </si>
  <si>
    <t>b1</t>
  </si>
  <si>
    <t>b2</t>
  </si>
  <si>
    <t>b3</t>
  </si>
  <si>
    <t>b4</t>
  </si>
  <si>
    <t>bias</t>
  </si>
  <si>
    <t>o5</t>
  </si>
  <si>
    <t>o6</t>
  </si>
  <si>
    <t>o7</t>
  </si>
  <si>
    <t>o8</t>
  </si>
  <si>
    <t>o9</t>
  </si>
  <si>
    <t>o10</t>
  </si>
  <si>
    <t>o11</t>
  </si>
  <si>
    <t>o12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</si>
  <si>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</si>
  <si>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</si>
  <si>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</si>
  <si>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</si>
  <si>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</si>
  <si>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</si>
  <si>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</si>
  <si>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</si>
  <si>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</si>
  <si>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</si>
  <si>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</si>
  <si>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</si>
  <si>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</si>
  <si>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</si>
  <si>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</si>
  <si>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</si>
  <si>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</si>
  <si>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</si>
  <si>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</si>
  <si>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</si>
  <si>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</si>
  <si>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</si>
  <si>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</si>
  <si>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</si>
  <si>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</si>
  <si>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</si>
  <si>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</si>
  <si>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</si>
  <si>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</si>
  <si>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</si>
  <si>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</si>
  <si>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</si>
  <si>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</si>
  <si>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</si>
  <si>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</si>
  <si>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</si>
  <si>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</si>
  <si>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</si>
  <si>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</si>
  <si>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</si>
  <si>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</si>
  <si>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</si>
  <si>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</si>
  <si>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</si>
  <si>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</si>
  <si>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</si>
  <si>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</si>
  <si>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</si>
  <si>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</si>
  <si>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</si>
  <si>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</si>
  <si>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</si>
  <si>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</si>
  <si>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</si>
  <si>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</si>
  <si>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</si>
  <si>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</si>
  <si>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</si>
  <si>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</si>
  <si>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</si>
  <si>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</si>
  <si>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</si>
  <si>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</si>
  <si>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</si>
  <si>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</si>
  <si>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</si>
  <si>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</si>
  <si>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</si>
  <si>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</si>
  <si>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</si>
  <si>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</si>
  <si>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</si>
  <si>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</si>
  <si>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o40</t>
  </si>
  <si>
    <t>o41</t>
  </si>
  <si>
    <t>o42</t>
  </si>
  <si>
    <t>o43</t>
  </si>
  <si>
    <t>o44</t>
  </si>
  <si>
    <t>o45</t>
  </si>
  <si>
    <t>o46</t>
  </si>
  <si>
    <t>o47</t>
  </si>
  <si>
    <t>o48</t>
  </si>
  <si>
    <t>o49</t>
  </si>
  <si>
    <t>o50</t>
  </si>
  <si>
    <t>ReLU Layer</t>
  </si>
  <si>
    <t>Input</t>
  </si>
  <si>
    <t>Probability</t>
  </si>
  <si>
    <t>Label</t>
  </si>
  <si>
    <t>input_001</t>
  </si>
  <si>
    <t>input_002</t>
  </si>
  <si>
    <t>input_003</t>
  </si>
  <si>
    <t>input_004</t>
  </si>
  <si>
    <t>input_005</t>
  </si>
  <si>
    <t>input_006</t>
  </si>
  <si>
    <t>input_007</t>
  </si>
  <si>
    <t>input_008</t>
  </si>
  <si>
    <t>input_009</t>
  </si>
  <si>
    <t>input_010</t>
  </si>
  <si>
    <t>input_011</t>
  </si>
  <si>
    <t>input_012</t>
  </si>
  <si>
    <t>input_013</t>
  </si>
  <si>
    <t>input_014</t>
  </si>
  <si>
    <t>input_015</t>
  </si>
  <si>
    <t>input_016</t>
  </si>
  <si>
    <t>input_017</t>
  </si>
  <si>
    <t>input_018</t>
  </si>
  <si>
    <t>input_019</t>
  </si>
  <si>
    <t>input_020</t>
  </si>
  <si>
    <t>input_021</t>
  </si>
  <si>
    <t>input_022</t>
  </si>
  <si>
    <t>input_023</t>
  </si>
  <si>
    <t>input_024</t>
  </si>
  <si>
    <t>input_025</t>
  </si>
  <si>
    <t>input_026</t>
  </si>
  <si>
    <t>input_027</t>
  </si>
  <si>
    <t>input_028</t>
  </si>
  <si>
    <t>input_029</t>
  </si>
  <si>
    <t>input_030</t>
  </si>
  <si>
    <t>input_031</t>
  </si>
  <si>
    <t>input_032</t>
  </si>
  <si>
    <t>input_033</t>
  </si>
  <si>
    <t>input_034</t>
  </si>
  <si>
    <t>input_035</t>
  </si>
  <si>
    <t>input_036</t>
  </si>
  <si>
    <t>input_037</t>
  </si>
  <si>
    <t>input_038</t>
  </si>
  <si>
    <t>input_039</t>
  </si>
  <si>
    <t>input_040</t>
  </si>
  <si>
    <t>input_041</t>
  </si>
  <si>
    <t>input_042</t>
  </si>
  <si>
    <t>input_043</t>
  </si>
  <si>
    <t>input_044</t>
  </si>
  <si>
    <t>input_045</t>
  </si>
  <si>
    <t>input_046</t>
  </si>
  <si>
    <t>input_047</t>
  </si>
  <si>
    <t>input_048</t>
  </si>
  <si>
    <t>input_049</t>
  </si>
  <si>
    <t>input_050</t>
  </si>
  <si>
    <t>input_051</t>
  </si>
  <si>
    <t>input_052</t>
  </si>
  <si>
    <t>input_053</t>
  </si>
  <si>
    <t>input_054</t>
  </si>
  <si>
    <t>input_055</t>
  </si>
  <si>
    <t>input_056</t>
  </si>
  <si>
    <t>input_057</t>
  </si>
  <si>
    <t>input_058</t>
  </si>
  <si>
    <t>input_059</t>
  </si>
  <si>
    <t>input_060</t>
  </si>
  <si>
    <t>input_061</t>
  </si>
  <si>
    <t>input_062</t>
  </si>
  <si>
    <t>input_063</t>
  </si>
  <si>
    <t>input_064</t>
  </si>
  <si>
    <t>input_065</t>
  </si>
  <si>
    <t>input_066</t>
  </si>
  <si>
    <t>input_067</t>
  </si>
  <si>
    <t>input_068</t>
  </si>
  <si>
    <t>input_069</t>
  </si>
  <si>
    <t>input_070</t>
  </si>
  <si>
    <t>input_071</t>
  </si>
  <si>
    <t>input_072</t>
  </si>
  <si>
    <t>input_073</t>
  </si>
  <si>
    <t>input_074</t>
  </si>
  <si>
    <t>input_075</t>
  </si>
  <si>
    <t>input_076</t>
  </si>
  <si>
    <t>input_077</t>
  </si>
  <si>
    <t>input_078</t>
  </si>
  <si>
    <t>input_079</t>
  </si>
  <si>
    <t>input_080</t>
  </si>
  <si>
    <t>input_081</t>
  </si>
  <si>
    <t>input_082</t>
  </si>
  <si>
    <t>input_083</t>
  </si>
  <si>
    <t>input_084</t>
  </si>
  <si>
    <t>input_085</t>
  </si>
  <si>
    <t>input_086</t>
  </si>
  <si>
    <t>input_087</t>
  </si>
  <si>
    <t>input_088</t>
  </si>
  <si>
    <t>input_089</t>
  </si>
  <si>
    <t>input_090</t>
  </si>
  <si>
    <t>input_091</t>
  </si>
  <si>
    <t>input_092</t>
  </si>
  <si>
    <t>input_093</t>
  </si>
  <si>
    <t>input_094</t>
  </si>
  <si>
    <t>input_095</t>
  </si>
  <si>
    <t>input_096</t>
  </si>
  <si>
    <t>input_097</t>
  </si>
  <si>
    <t>input_098</t>
  </si>
  <si>
    <t>input_099</t>
  </si>
  <si>
    <t>input_100</t>
  </si>
  <si>
    <t>input_101</t>
  </si>
  <si>
    <t>input_102</t>
  </si>
  <si>
    <t>input_103</t>
  </si>
  <si>
    <t>input_104</t>
  </si>
  <si>
    <t>input_105</t>
  </si>
  <si>
    <t>input_106</t>
  </si>
  <si>
    <t>input_107</t>
  </si>
  <si>
    <t>input_108</t>
  </si>
  <si>
    <t>input_109</t>
  </si>
  <si>
    <t>input_110</t>
  </si>
  <si>
    <t>input_111</t>
  </si>
  <si>
    <t>input_112</t>
  </si>
  <si>
    <t>input_113</t>
  </si>
  <si>
    <t>input_114</t>
  </si>
  <si>
    <t>input_115</t>
  </si>
  <si>
    <t>input_116</t>
  </si>
  <si>
    <t>input_117</t>
  </si>
  <si>
    <t>input_118</t>
  </si>
  <si>
    <t>input_119</t>
  </si>
  <si>
    <t>input_120</t>
  </si>
  <si>
    <t>input_121</t>
  </si>
  <si>
    <t>input_122</t>
  </si>
  <si>
    <t>input_123</t>
  </si>
  <si>
    <t>input_124</t>
  </si>
  <si>
    <t>input_125</t>
  </si>
  <si>
    <t>input_126</t>
  </si>
  <si>
    <t>input_127</t>
  </si>
  <si>
    <t>input_128</t>
  </si>
  <si>
    <t>input_129</t>
  </si>
  <si>
    <t>input_130</t>
  </si>
  <si>
    <t>input_131</t>
  </si>
  <si>
    <t>input_132</t>
  </si>
  <si>
    <t>input_133</t>
  </si>
  <si>
    <t>input_134</t>
  </si>
  <si>
    <t>input_135</t>
  </si>
  <si>
    <t>input_136</t>
  </si>
  <si>
    <t>input_137</t>
  </si>
  <si>
    <t>input_138</t>
  </si>
  <si>
    <t>input_139</t>
  </si>
  <si>
    <t>input_140</t>
  </si>
  <si>
    <t>input_141</t>
  </si>
  <si>
    <t>input_142</t>
  </si>
  <si>
    <t>input_143</t>
  </si>
  <si>
    <t>input_144</t>
  </si>
  <si>
    <t>n_01</t>
  </si>
  <si>
    <t>n_02</t>
  </si>
  <si>
    <t>n_03</t>
  </si>
  <si>
    <t>n_04</t>
  </si>
  <si>
    <t>n_05</t>
  </si>
  <si>
    <t>n_06</t>
  </si>
  <si>
    <t>n_07</t>
  </si>
  <si>
    <t>n_08</t>
  </si>
  <si>
    <t>n_09</t>
  </si>
  <si>
    <t>n_10</t>
  </si>
  <si>
    <t>n_11</t>
  </si>
  <si>
    <t>n_12</t>
  </si>
  <si>
    <t>n_13</t>
  </si>
  <si>
    <t>n_14</t>
  </si>
  <si>
    <t>n_15</t>
  </si>
  <si>
    <t>n_16</t>
  </si>
  <si>
    <t>n_17</t>
  </si>
  <si>
    <t>n_18</t>
  </si>
  <si>
    <t>n_19</t>
  </si>
  <si>
    <t>n_20</t>
  </si>
  <si>
    <t>n_21</t>
  </si>
  <si>
    <t>n_22</t>
  </si>
  <si>
    <t>n_23</t>
  </si>
  <si>
    <t>n_24</t>
  </si>
  <si>
    <t>n_25</t>
  </si>
  <si>
    <t>n_26</t>
  </si>
  <si>
    <t>n_27</t>
  </si>
  <si>
    <t>n_28</t>
  </si>
  <si>
    <t>n_29</t>
  </si>
  <si>
    <t>n_30</t>
  </si>
  <si>
    <t>n_31</t>
  </si>
  <si>
    <t>n_32</t>
  </si>
  <si>
    <t>n_33</t>
  </si>
  <si>
    <t>n_34</t>
  </si>
  <si>
    <t>n_35</t>
  </si>
  <si>
    <t>n_36</t>
  </si>
  <si>
    <t>n_37</t>
  </si>
  <si>
    <t>n_38</t>
  </si>
  <si>
    <t>n_39</t>
  </si>
  <si>
    <t>n_40</t>
  </si>
  <si>
    <t>n_41</t>
  </si>
  <si>
    <t>n_42</t>
  </si>
  <si>
    <t>n_43</t>
  </si>
  <si>
    <t>n_44</t>
  </si>
  <si>
    <t>n_45</t>
  </si>
  <si>
    <t>n_46</t>
  </si>
  <si>
    <t>n_47</t>
  </si>
  <si>
    <t>n_48</t>
  </si>
  <si>
    <t>n_49</t>
  </si>
  <si>
    <t>n_50</t>
  </si>
  <si>
    <t>logit</t>
  </si>
  <si>
    <t>Softmax Layer</t>
  </si>
  <si>
    <t>Predicted</t>
  </si>
  <si>
    <t>n_51</t>
  </si>
  <si>
    <t>n_52</t>
  </si>
  <si>
    <t>n_53</t>
  </si>
  <si>
    <t>n_54</t>
  </si>
  <si>
    <t>n_55</t>
  </si>
  <si>
    <t>n_56</t>
  </si>
  <si>
    <t>n_57</t>
  </si>
  <si>
    <t>n_58</t>
  </si>
  <si>
    <t>n_59</t>
  </si>
  <si>
    <t>n_60</t>
  </si>
  <si>
    <t>n_61</t>
  </si>
  <si>
    <t>n_62</t>
  </si>
  <si>
    <t>n_63</t>
  </si>
  <si>
    <t>n_64</t>
  </si>
  <si>
    <t>n_65</t>
  </si>
  <si>
    <t>n_66</t>
  </si>
  <si>
    <t>n_67</t>
  </si>
  <si>
    <t>n_68</t>
  </si>
  <si>
    <t>n_69</t>
  </si>
  <si>
    <t>n_70</t>
  </si>
  <si>
    <t>n_71</t>
  </si>
  <si>
    <t>n_72</t>
  </si>
  <si>
    <t>n_73</t>
  </si>
  <si>
    <t>n_74</t>
  </si>
  <si>
    <t>n_75</t>
  </si>
  <si>
    <t>n_76</t>
  </si>
  <si>
    <t>n_77</t>
  </si>
  <si>
    <t>n_78</t>
  </si>
  <si>
    <t>n_79</t>
  </si>
  <si>
    <t>n_80</t>
  </si>
  <si>
    <t>n_81</t>
  </si>
  <si>
    <t>n_82</t>
  </si>
  <si>
    <t>n_83</t>
  </si>
  <si>
    <t>n_84</t>
  </si>
  <si>
    <t>n_85</t>
  </si>
  <si>
    <t>n_86</t>
  </si>
  <si>
    <t>n_87</t>
  </si>
  <si>
    <t>n_88</t>
  </si>
  <si>
    <t>n_89</t>
  </si>
  <si>
    <t>n_90</t>
  </si>
  <si>
    <t>n_91</t>
  </si>
  <si>
    <t>n_92</t>
  </si>
  <si>
    <t>n_93</t>
  </si>
  <si>
    <t>n_94</t>
  </si>
  <si>
    <t>n_95</t>
  </si>
  <si>
    <t>n_96</t>
  </si>
  <si>
    <t>n_97</t>
  </si>
  <si>
    <t>n_98</t>
  </si>
  <si>
    <t>n_99</t>
  </si>
  <si>
    <t>n_100</t>
  </si>
  <si>
    <t>n_101</t>
  </si>
  <si>
    <t>n_102</t>
  </si>
  <si>
    <t>n_103</t>
  </si>
  <si>
    <t>n_104</t>
  </si>
  <si>
    <t>n_105</t>
  </si>
  <si>
    <t>n_106</t>
  </si>
  <si>
    <t>n_107</t>
  </si>
  <si>
    <t>n_108</t>
  </si>
  <si>
    <t>n_109</t>
  </si>
  <si>
    <t>n_110</t>
  </si>
  <si>
    <t>n_111</t>
  </si>
  <si>
    <t>n_112</t>
  </si>
  <si>
    <t>n_113</t>
  </si>
  <si>
    <t>n_114</t>
  </si>
  <si>
    <t>n_115</t>
  </si>
  <si>
    <t>n_116</t>
  </si>
  <si>
    <t>n_117</t>
  </si>
  <si>
    <t>n_118</t>
  </si>
  <si>
    <t>n_119</t>
  </si>
  <si>
    <t>n_120</t>
  </si>
  <si>
    <t>n_121</t>
  </si>
  <si>
    <t>n_122</t>
  </si>
  <si>
    <t>n_123</t>
  </si>
  <si>
    <t>n_124</t>
  </si>
  <si>
    <t>n_125</t>
  </si>
  <si>
    <t>n_126</t>
  </si>
  <si>
    <t>n_127</t>
  </si>
  <si>
    <t>n_128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</si>
  <si>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</si>
  <si>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</si>
  <si>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</si>
  <si>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</si>
  <si>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</si>
  <si>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</si>
  <si>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</si>
  <si>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</si>
  <si>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</si>
  <si>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</si>
  <si>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</si>
  <si>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</si>
  <si>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</si>
  <si>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</si>
  <si>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</si>
  <si>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</si>
  <si>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</si>
  <si>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</si>
  <si>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</si>
  <si>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</si>
  <si>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</si>
  <si>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</si>
  <si>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</si>
  <si>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</si>
  <si>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</si>
  <si>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</si>
  <si>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</si>
  <si>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</si>
  <si>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</si>
  <si>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</si>
  <si>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</si>
  <si>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b82</t>
  </si>
  <si>
    <t>b83</t>
  </si>
  <si>
    <t>b84</t>
  </si>
  <si>
    <t>b85</t>
  </si>
  <si>
    <t>b86</t>
  </si>
  <si>
    <t>b87</t>
  </si>
  <si>
    <t>b88</t>
  </si>
  <si>
    <t>b89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</si>
  <si>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</si>
  <si>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</si>
  <si>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</si>
  <si>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</si>
  <si>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</si>
  <si>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</si>
  <si>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</si>
  <si>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</si>
  <si>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</si>
  <si>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</si>
  <si>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b100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</si>
  <si>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</si>
  <si>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</si>
  <si>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</si>
  <si>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</si>
  <si>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</si>
  <si>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</si>
  <si>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</si>
  <si>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</si>
  <si>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</si>
  <si>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</si>
  <si>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</si>
  <si>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</si>
  <si>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</si>
  <si>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</si>
  <si>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</si>
  <si>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</si>
  <si>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</si>
  <si>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</si>
  <si>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</si>
  <si>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</si>
  <si>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</si>
  <si>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</si>
  <si>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</si>
  <si>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</si>
  <si>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</si>
  <si>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</si>
  <si>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</si>
  <si>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</si>
  <si>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o51</t>
  </si>
  <si>
    <t>o52</t>
  </si>
  <si>
    <t>o53</t>
  </si>
  <si>
    <t>o54</t>
  </si>
  <si>
    <t>o55</t>
  </si>
  <si>
    <t>o56</t>
  </si>
  <si>
    <t>o57</t>
  </si>
  <si>
    <t>o58</t>
  </si>
  <si>
    <t>o59</t>
  </si>
  <si>
    <t>o60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</si>
  <si>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</si>
  <si>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</si>
  <si>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</si>
  <si>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</si>
  <si>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</si>
  <si>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</si>
  <si>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</si>
  <si>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</si>
  <si>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</si>
  <si>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o70</t>
  </si>
  <si>
    <t>o71</t>
  </si>
  <si>
    <t>o72</t>
  </si>
  <si>
    <t>o73</t>
  </si>
  <si>
    <t>o74</t>
  </si>
  <si>
    <t>o75</t>
  </si>
  <si>
    <t>o76</t>
  </si>
  <si>
    <t>o77</t>
  </si>
  <si>
    <t>o78</t>
  </si>
  <si>
    <t>o79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</si>
  <si>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</si>
  <si>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</si>
  <si>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</si>
  <si>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</si>
  <si>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</si>
  <si>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</si>
  <si>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</si>
  <si>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</si>
  <si>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</si>
  <si>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</si>
  <si>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o90</t>
  </si>
  <si>
    <t>o91</t>
  </si>
  <si>
    <t>o92</t>
  </si>
  <si>
    <t>o93</t>
  </si>
  <si>
    <t>o94</t>
  </si>
  <si>
    <t>o95</t>
  </si>
  <si>
    <t>o96</t>
  </si>
  <si>
    <t>o97</t>
  </si>
  <si>
    <t>o98</t>
  </si>
  <si>
    <t>o99</t>
  </si>
  <si>
    <t>o100</t>
  </si>
  <si>
    <t>o101</t>
  </si>
  <si>
    <t>o102</t>
  </si>
  <si>
    <t>o103</t>
  </si>
  <si>
    <t>o104</t>
  </si>
  <si>
    <t>o105</t>
  </si>
  <si>
    <t>o106</t>
  </si>
  <si>
    <t>o107</t>
  </si>
  <si>
    <t>o108</t>
  </si>
  <si>
    <t>o109</t>
  </si>
  <si>
    <t>o110</t>
  </si>
  <si>
    <t>o111</t>
  </si>
  <si>
    <t>o112</t>
  </si>
  <si>
    <t>o113</t>
  </si>
  <si>
    <t>o114</t>
  </si>
  <si>
    <t>o115</t>
  </si>
  <si>
    <t>o116</t>
  </si>
  <si>
    <t>o117</t>
  </si>
  <si>
    <t>o118</t>
  </si>
  <si>
    <t>o119</t>
  </si>
  <si>
    <t>o120</t>
  </si>
  <si>
    <t>o121</t>
  </si>
  <si>
    <t>o122</t>
  </si>
  <si>
    <t>o123</t>
  </si>
  <si>
    <t>o124</t>
  </si>
  <si>
    <t>o125</t>
  </si>
  <si>
    <t>o126</t>
  </si>
  <si>
    <t>o127</t>
  </si>
  <si>
    <t>o128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</si>
</sst>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00000000000000000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72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4" fillId="0" borderId="0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0" fontId="4" fillId="0" borderId="3" xfId="0" applyFont="1" applyFill="1" applyBorder="1"/>
    <xf numFmtId="0" fontId="4" fillId="0" borderId="5" xfId="0" applyFont="1" applyFill="1" applyBorder="1"/>
    <xf numFmtId="0" fontId="4" fillId="0" borderId="6" xfId="0" applyFont="1" applyFill="1" applyBorder="1"/>
    <xf numFmtId="0" fontId="4" fillId="0" borderId="7" xfId="0" applyFont="1" applyFill="1" applyBorder="1"/>
    <xf numFmtId="0" fontId="4" fillId="0" borderId="8" xfId="0" applyFont="1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4" fillId="0" borderId="11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4" fillId="0" borderId="14" xfId="0" applyFont="1" applyFill="1" applyBorder="1"/>
    <xf numFmtId="0" fontId="4" fillId="0" borderId="15" xfId="0" applyFont="1" applyFill="1" applyBorder="1"/>
    <xf numFmtId="0" fontId="4" fillId="0" borderId="16" xfId="0" applyFont="1" applyFill="1" applyBorder="1"/>
    <xf numFmtId="9" fontId="0" fillId="2" borderId="0" xfId="0" applyNumberFormat="1" applyFill="1"/>
    <xf numFmtId="0" fontId="0" fillId="3" borderId="19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4" xfId="0" applyFill="1" applyBorder="1" applyAlignment="1">
      <alignment horizontal="center" vertical="center"/>
    </xf>
    <xf numFmtId="0" fontId="0" fillId="4" borderId="0" xfId="0" applyFill="1" applyBorder="1"/>
    <xf numFmtId="0" fontId="0" fillId="0" borderId="0" xfId="0" applyNumberFormat="1" applyFill="1"/>
    <xf numFmtId="0" fontId="0" fillId="0" borderId="0" xfId="0" applyNumberFormat="1"/>
    <xf numFmtId="164" fontId="0" fillId="0" borderId="0" xfId="0" applyNumberFormat="1"/>
    <xf numFmtId="0" fontId="0" fillId="2" borderId="0" xfId="0" applyNumberFormat="1" applyFill="1"/>
    <xf numFmtId="165" fontId="0" fillId="2" borderId="0" xfId="0" applyNumberFormat="1" applyFill="1"/>
    <xf numFmtId="9" fontId="0" fillId="3" borderId="20" xfId="1" applyNumberFormat="1" applyFont="1" applyFill="1" applyBorder="1"/>
    <xf numFmtId="0" fontId="7" fillId="3" borderId="21" xfId="1" applyNumberFormat="1" applyFont="1" applyFill="1" applyBorder="1" applyAlignment="1">
      <alignment horizontal="center"/>
    </xf>
    <xf numFmtId="0" fontId="7" fillId="3" borderId="22" xfId="1" applyNumberFormat="1" applyFont="1" applyFill="1" applyBorder="1" applyAlignment="1">
      <alignment horizontal="center"/>
    </xf>
    <xf numFmtId="0" fontId="7" fillId="3" borderId="23" xfId="1" applyNumberFormat="1" applyFont="1" applyFill="1" applyBorder="1" applyAlignment="1">
      <alignment horizont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9"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00B050"/>
        </patternFill>
      </fill>
    </dxf>
    <dxf>
      <numFmt numFmtId="0" formatCode="General"/>
    </dxf>
    <dxf>
      <font>
        <color rgb="FF00B050"/>
      </font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B05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0</xdr:rowOff>
        </xdr:from>
        <xdr:to>
          <xdr:col>2</xdr:col>
          <xdr:colOff>259080</xdr:colOff>
          <xdr:row>14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150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7620</xdr:colOff>
          <xdr:row>14</xdr:row>
          <xdr:rowOff>91440</xdr:rowOff>
        </xdr:to>
        <xdr:sp macro="" textlink="">
          <xdr:nvSpPr>
            <xdr:cNvPr id="2057" name="Draw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C165CA-C7F7-42B3-8DC0-FF988813D2E6}" name="Table2" displayName="Table2" ref="C3:DZ147" totalsRowShown="0">
  <autoFilter ref="C3:DZ147" xr:uid="{31F254F6-60D9-476F-B0B5-A23A3CA73376}"/>
  <tableColumns count="128">
    <tableColumn id="1" xr3:uid="{40A4F7FD-0566-44B0-99ED-CBBC24213120}" name="n_01"/>
    <tableColumn id="2" xr3:uid="{AED055EE-3197-40CB-A9CB-533D19AB2896}" name="n_02"/>
    <tableColumn id="3" xr3:uid="{36CD36DE-121A-4637-8484-8CAE980E25C6}" name="n_03"/>
    <tableColumn id="4" xr3:uid="{85CF8D8E-5F2E-4282-AEE0-54857772EBC6}" name="n_04"/>
    <tableColumn id="5" xr3:uid="{50E4F7F5-E33B-436D-AD35-CD66699DFD4D}" name="n_05"/>
    <tableColumn id="6" xr3:uid="{37D1DF42-8F69-4993-8711-CC06026B6270}" name="n_06"/>
    <tableColumn id="7" xr3:uid="{558B3ED5-BB6C-4C9A-9B40-DA596362C9E0}" name="n_07"/>
    <tableColumn id="8" xr3:uid="{42F1E0E0-D830-4DDB-981B-DBED55CEC059}" name="n_08"/>
    <tableColumn id="9" xr3:uid="{6FFE8027-4B41-47F3-BAAC-EAA5D1D1BCAA}" name="n_09"/>
    <tableColumn id="10" xr3:uid="{577DA632-E5E3-446A-86DC-44AF5B9FFE03}" name="n_10"/>
    <tableColumn id="11" xr3:uid="{28E6263A-6670-419B-8625-83E566D34E3F}" name="n_11"/>
    <tableColumn id="12" xr3:uid="{E3426448-36A3-4560-A17B-095B2863701E}" name="n_12"/>
    <tableColumn id="13" xr3:uid="{D72C1EDD-6347-4DF4-ABB7-881B1FB6C57E}" name="n_13"/>
    <tableColumn id="14" xr3:uid="{046D0632-E50F-4F81-BCC2-F011AC172F09}" name="n_14"/>
    <tableColumn id="15" xr3:uid="{425367BB-65E3-4A51-9B8D-CF114071C596}" name="n_15"/>
    <tableColumn id="16" xr3:uid="{CB458DC9-D7CD-40FF-8866-0FBA4FD91168}" name="n_16"/>
    <tableColumn id="17" xr3:uid="{0C178A1F-153B-4EA9-B1ED-1121EA71CAE3}" name="n_17"/>
    <tableColumn id="18" xr3:uid="{CF4F29EC-356C-4593-AB4E-08349F8B97AE}" name="n_18"/>
    <tableColumn id="19" xr3:uid="{6F038D48-92E7-408D-9201-797C5889E5BB}" name="n_19"/>
    <tableColumn id="20" xr3:uid="{E392B79F-A330-4BA6-A563-0B75AF7694AF}" name="n_20"/>
    <tableColumn id="21" xr3:uid="{4B3B975C-27EB-4605-A6C8-DD6DD94EB0DA}" name="n_21"/>
    <tableColumn id="22" xr3:uid="{3AE19460-FE96-47E9-A069-28E3C47F5F0A}" name="n_22"/>
    <tableColumn id="23" xr3:uid="{0A5BFCCB-2B21-47CD-8B4A-F3B2BE5DA4BC}" name="n_23"/>
    <tableColumn id="24" xr3:uid="{1CA74A98-AB7C-4271-9B0C-E3DCE558EE77}" name="n_24"/>
    <tableColumn id="25" xr3:uid="{B0CB4018-A159-4FF9-9731-7317A7BEB340}" name="n_25"/>
    <tableColumn id="26" xr3:uid="{C3B1B9D0-025E-4485-9601-4DFDAD3B83CD}" name="n_26"/>
    <tableColumn id="27" xr3:uid="{C2DC02FC-841F-4D12-A5D2-FF1044E48493}" name="n_27"/>
    <tableColumn id="28" xr3:uid="{E26CB150-C1EF-4DDC-98D6-DCF8D98C1DE4}" name="n_28"/>
    <tableColumn id="29" xr3:uid="{1E8E4738-DC2D-4CA2-A923-4E5E90B3EF8E}" name="n_29"/>
    <tableColumn id="30" xr3:uid="{CA19A2C5-D6F9-4172-B24F-1255635719E9}" name="n_30"/>
    <tableColumn id="31" xr3:uid="{E6DCB6D1-26A9-4388-AE58-E67D90981913}" name="n_31"/>
    <tableColumn id="32" xr3:uid="{1CC15068-E6CF-48E4-920B-5E474EECFB97}" name="n_32"/>
    <tableColumn id="33" xr3:uid="{80364C68-4B35-48D5-8244-3B034ACF169C}" name="n_33"/>
    <tableColumn id="34" xr3:uid="{A17A9560-0BBD-4F6E-B4B5-384B14805CD7}" name="n_34"/>
    <tableColumn id="35" xr3:uid="{6E67A342-82B2-4037-B28F-59CDA0EAF436}" name="n_35"/>
    <tableColumn id="36" xr3:uid="{47DD91E4-1E1D-4DC0-B85E-EF06CEE503CE}" name="n_36"/>
    <tableColumn id="37" xr3:uid="{42805094-C974-4E8E-85DB-1D0B5688642A}" name="n_37"/>
    <tableColumn id="38" xr3:uid="{7490EAA6-7097-4D85-A1AD-74D09C5E4032}" name="n_38"/>
    <tableColumn id="39" xr3:uid="{7A89C2CD-D251-4F8D-9CC4-0A6D687E3898}" name="n_39"/>
    <tableColumn id="40" xr3:uid="{B5B45E30-7A89-4DFD-9E30-F2C8359E3CC9}" name="n_40"/>
    <tableColumn id="41" xr3:uid="{2F2A49A8-BF3C-4046-A583-B79C1AD32468}" name="n_41"/>
    <tableColumn id="42" xr3:uid="{77C6FC61-6373-4C9E-A1B0-E1A2681DB9B2}" name="n_42"/>
    <tableColumn id="43" xr3:uid="{A222688E-39BD-4FED-92A4-D5633CC7F973}" name="n_43"/>
    <tableColumn id="44" xr3:uid="{A5853559-92FB-4B15-82AB-C712E168397C}" name="n_44"/>
    <tableColumn id="45" xr3:uid="{B93B15B2-2B02-4EFB-A746-91D52F1FCFA2}" name="n_45"/>
    <tableColumn id="46" xr3:uid="{18E576BC-FB1B-46B5-9190-56EAE0F66579}" name="n_46"/>
    <tableColumn id="47" xr3:uid="{384FFFDC-E1EE-474B-B9A8-838782CA34E4}" name="n_47"/>
    <tableColumn id="48" xr3:uid="{148225BC-5B5B-4EA5-954C-7A5291DA57A9}" name="n_48"/>
    <tableColumn id="49" xr3:uid="{F32F3189-1DA1-4A66-9C5C-53209E915374}" name="n_49"/>
    <tableColumn id="50" xr3:uid="{B1CE93C6-C248-4609-B9C9-A79C9B572441}" name="n_50"/>
    <tableColumn id="51" xr3:uid="{65DFF20C-A2D0-4943-8EDA-BE0A8C6FF319}" name="n_51"/>
    <tableColumn id="52" xr3:uid="{B4217672-4F75-4D67-B668-A70EEE92C2A1}" name="n_52"/>
    <tableColumn id="53" xr3:uid="{59C2582C-6BA7-46C7-BB9C-9B1A70FA66AC}" name="n_53"/>
    <tableColumn id="54" xr3:uid="{76B0E457-E674-487D-B08E-51C7A11FFC02}" name="n_54"/>
    <tableColumn id="55" xr3:uid="{50F796C7-22C0-4301-9B29-0BE82A73D03A}" name="n_55"/>
    <tableColumn id="56" xr3:uid="{71BBCADE-516A-4674-B701-EFC37495B1D5}" name="n_56"/>
    <tableColumn id="57" xr3:uid="{464682AB-7F1C-447F-906E-018CF241C1D9}" name="n_57"/>
    <tableColumn id="58" xr3:uid="{CEBF4FD2-46C4-4C2E-845B-633B5604B2A4}" name="n_58"/>
    <tableColumn id="59" xr3:uid="{16AE0A9B-5C9C-41AF-A72C-88F580EBA035}" name="n_59"/>
    <tableColumn id="60" xr3:uid="{D5B77F0F-56D6-4378-91A0-B6873D5FD901}" name="n_60"/>
    <tableColumn id="61" xr3:uid="{8816AB47-7A22-42F5-80F7-1A13CB4AAB22}" name="n_61"/>
    <tableColumn id="62" xr3:uid="{CE482F67-4C7F-498B-9CB6-CF02389CB245}" name="n_62"/>
    <tableColumn id="63" xr3:uid="{0E77E44F-B71A-4A19-A14E-7E6889C03C84}" name="n_63"/>
    <tableColumn id="64" xr3:uid="{E8242EAB-2916-4B58-A7EF-FCA3C49D15FF}" name="n_64"/>
    <tableColumn id="65" xr3:uid="{C994502A-67C7-450E-9EA3-17835ACCF659}" name="n_65"/>
    <tableColumn id="66" xr3:uid="{B2361160-6B25-4E34-B5B7-78D30A67D0F0}" name="n_66"/>
    <tableColumn id="67" xr3:uid="{26FBCF36-7B13-4F26-B74E-3333680DF362}" name="n_67"/>
    <tableColumn id="68" xr3:uid="{F80ADD34-9D4F-41CC-8902-8D0CF5D3F281}" name="n_68"/>
    <tableColumn id="69" xr3:uid="{BD73E965-BC6A-4E8B-81A9-0BC5B9413C4B}" name="n_69"/>
    <tableColumn id="70" xr3:uid="{B04D65D6-6673-4C65-A9FD-9ACC7A1F427E}" name="n_70"/>
    <tableColumn id="71" xr3:uid="{BBA1D379-4E20-4DDD-826D-B74D52EA3223}" name="n_71"/>
    <tableColumn id="72" xr3:uid="{6B3D1467-13F8-41AD-AA06-183FBD8ADCD3}" name="n_72"/>
    <tableColumn id="73" xr3:uid="{BE7FFA61-B3A6-4EAA-A651-EB6812DF0F9B}" name="n_73"/>
    <tableColumn id="74" xr3:uid="{DE44852F-654F-4218-BE6D-22EAB5F55233}" name="n_74"/>
    <tableColumn id="75" xr3:uid="{FF48A5C0-C339-4B35-9AF2-C4AD9E67E08D}" name="n_75"/>
    <tableColumn id="76" xr3:uid="{43AE06AD-A22D-4DD6-9668-971A7E618DD8}" name="n_76"/>
    <tableColumn id="77" xr3:uid="{9A0C16B5-7C66-4228-AC88-7BF09711FD22}" name="n_77"/>
    <tableColumn id="78" xr3:uid="{D9F01F2C-2ED5-43C2-A9F3-089383AB589B}" name="n_78"/>
    <tableColumn id="79" xr3:uid="{C045D68A-C64A-4C9B-AF26-BC68DBDFD070}" name="n_79"/>
    <tableColumn id="80" xr3:uid="{77481A10-19B1-4027-A00A-90F2DDBC2304}" name="n_80"/>
    <tableColumn id="81" xr3:uid="{2CA14212-6392-4E1E-B693-E435521562AB}" name="n_81"/>
    <tableColumn id="82" xr3:uid="{D8578BCE-EFCD-43EE-A67B-6DF19E6B0589}" name="n_82"/>
    <tableColumn id="83" xr3:uid="{8A14AED4-6D6E-46E6-9275-9557FEF2129A}" name="n_83"/>
    <tableColumn id="84" xr3:uid="{B762B48E-92D3-43E9-8F98-3F9409BB9BD2}" name="n_84"/>
    <tableColumn id="85" xr3:uid="{EF7D5BC9-0AE8-43D0-8FD7-60A202446BE4}" name="n_85"/>
    <tableColumn id="86" xr3:uid="{98F488DC-B265-426E-A3ED-FA595707B22A}" name="n_86"/>
    <tableColumn id="87" xr3:uid="{75AD0665-6084-475B-BD2A-5FD725600991}" name="n_87"/>
    <tableColumn id="88" xr3:uid="{2709FAFB-78CD-4E33-8418-29AD0B6E3AE4}" name="n_88"/>
    <tableColumn id="89" xr3:uid="{83E30860-E69D-4AC1-883E-33A5B917FE46}" name="n_89"/>
    <tableColumn id="90" xr3:uid="{9AE26C1A-11BD-4E52-8D1D-70482ABBC91E}" name="n_90"/>
    <tableColumn id="91" xr3:uid="{4F18F3EA-A296-4F13-8756-493DA8A6731A}" name="n_91"/>
    <tableColumn id="92" xr3:uid="{C5EBD679-11BD-4343-87D0-805A300DAF3E}" name="n_92"/>
    <tableColumn id="93" xr3:uid="{10FE8A34-E480-4904-A5D5-4C0154B56226}" name="n_93"/>
    <tableColumn id="94" xr3:uid="{631A78F1-8AB8-4B9C-8C2B-7A38C2A4DF84}" name="n_94"/>
    <tableColumn id="95" xr3:uid="{42A904B6-2814-456C-92E6-9E5A9B69C20E}" name="n_95"/>
    <tableColumn id="96" xr3:uid="{C6B8BA7F-DA9A-44CB-9DF2-C883418F4F04}" name="n_96"/>
    <tableColumn id="97" xr3:uid="{A817144A-5692-4D9C-9AA4-22D7B55CC0C5}" name="n_97"/>
    <tableColumn id="98" xr3:uid="{D399D50B-198C-4FF3-8674-7B58FAB6EA7D}" name="n_98"/>
    <tableColumn id="99" xr3:uid="{5F8D049F-E3F2-413F-812E-A137A433C90A}" name="n_99"/>
    <tableColumn id="100" xr3:uid="{EF371421-F7D8-4A88-B1C4-E6CCBB8B4B9C}" name="n_100"/>
    <tableColumn id="101" xr3:uid="{97E55B2E-5706-42C7-A895-9470192458F5}" name="n_101"/>
    <tableColumn id="102" xr3:uid="{FC8662D4-683A-4770-ADA6-3A24927BD3DD}" name="n_102"/>
    <tableColumn id="103" xr3:uid="{BF1C9443-C240-480E-A998-386E9DC1F6B6}" name="n_103"/>
    <tableColumn id="104" xr3:uid="{0225D199-91E6-45C4-831A-C9AEFDBB6594}" name="n_104"/>
    <tableColumn id="105" xr3:uid="{2EAA0806-3F0A-4538-B367-958FF14A669E}" name="n_105"/>
    <tableColumn id="106" xr3:uid="{17B85CDB-DBB7-4A5A-8B91-E5AC2C03E4F9}" name="n_106"/>
    <tableColumn id="107" xr3:uid="{21C07EF0-43EA-4263-B141-52EA9AFAFF8A}" name="n_107"/>
    <tableColumn id="108" xr3:uid="{A8DD1742-D5FB-4F70-A083-6FC982D5A94D}" name="n_108"/>
    <tableColumn id="109" xr3:uid="{281FA436-4700-4A99-A390-EEAB55E0ED7C}" name="n_109"/>
    <tableColumn id="110" xr3:uid="{1AF5DA26-39C6-42C7-9373-9E1B89FA2151}" name="n_110"/>
    <tableColumn id="111" xr3:uid="{03BAA338-24B5-4678-BBE7-7FAAFD0BCAA5}" name="n_111"/>
    <tableColumn id="112" xr3:uid="{C4A76E25-BA8B-438E-8DD9-3ED67A8425CF}" name="n_112"/>
    <tableColumn id="113" xr3:uid="{54E266C2-4A92-4A90-B6BD-385911757AFE}" name="n_113"/>
    <tableColumn id="114" xr3:uid="{726F55B7-B0F2-4DFA-9F48-23B6A155DB67}" name="n_114"/>
    <tableColumn id="115" xr3:uid="{7256BC26-05D8-4C16-8208-0B7536AAAB3E}" name="n_115"/>
    <tableColumn id="116" xr3:uid="{87922714-5A34-4D7A-8CD3-9AA2EA7BC6AC}" name="n_116"/>
    <tableColumn id="117" xr3:uid="{BA9C3695-F30B-49FC-BF6F-10E5CDC74A82}" name="n_117"/>
    <tableColumn id="118" xr3:uid="{732B5EA9-A7B1-4177-B08E-C112B05B9C40}" name="n_118"/>
    <tableColumn id="119" xr3:uid="{1DC9D8C1-1843-4D57-A202-0544303F5CC2}" name="n_119"/>
    <tableColumn id="120" xr3:uid="{FEA12DC8-F2E4-483F-B09E-6DF7152D107E}" name="n_120"/>
    <tableColumn id="121" xr3:uid="{6E36D7A2-AE19-4FC4-A749-E81B58C09508}" name="n_121"/>
    <tableColumn id="122" xr3:uid="{6D50C699-BB7D-4644-9721-BAB795D26A8B}" name="n_122"/>
    <tableColumn id="123" xr3:uid="{2C2CF3D6-CC38-49C8-BAAC-47DD757C126F}" name="n_123"/>
    <tableColumn id="124" xr3:uid="{6A4AF8ED-EB0F-46F2-A646-A00D6645EC76}" name="n_124"/>
    <tableColumn id="125" xr3:uid="{65614CA9-FFE9-4416-9821-EBF039FED83E}" name="n_125"/>
    <tableColumn id="126" xr3:uid="{1C33A5C0-88E2-412E-AC24-9D6EB8D95A72}" name="n_126"/>
    <tableColumn id="127" xr3:uid="{192FEF7E-7578-46DE-A762-0BEBAF2E8F56}" name="n_127"/>
    <tableColumn id="128" xr3:uid="{3AA69CD1-B723-49CD-BA30-2A21F641CD94}" name="n_12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45AE90-110A-4078-A033-7BDB6367A5FC}" name="Table3" displayName="Table3" ref="A3:A147" totalsRowShown="0">
  <autoFilter ref="A3:A147" xr:uid="{09CF8B64-702C-4E85-80FA-C55CCC03E7AB}"/>
  <tableColumns count="1">
    <tableColumn id="1" xr3:uid="{BF6402D9-49BC-4130-BD2B-F633A9C8B021}" name="Input">
      <calculatedColumnFormula>Input!B2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CE84DB-D61A-4135-A1F0-8EA58783E608}" name="Table4" displayName="Table4" ref="C154:DZ155" totalsRowShown="0">
  <autoFilter ref="C154:DZ155" xr:uid="{C893D264-C34C-4717-99A3-8D0BEE6EADE0}"/>
  <tableColumns count="128">
    <tableColumn id="1" xr3:uid="{FD15069B-9787-4E38-8FF9-0CB0507C90FA}" name="o1">
      <calculatedColumnFormula array="1">MAX(0, SUMPRODUCT(Table2[n_01],Table3[Input])+Table5[b1])</calculatedColumnFormula>
    </tableColumn>
    <tableColumn id="2" xr3:uid="{1ED5A925-B6C3-44A1-AF86-F52833EDDC76}" name="o2">
      <calculatedColumnFormula array="1">MAX(0, SUMPRODUCT(Table2[n_02],Table3[Input])+Table5[b2])</calculatedColumnFormula>
    </tableColumn>
    <tableColumn id="3" xr3:uid="{978E4E79-646F-47C5-8142-5F2A3C265EAF}" name="o3">
      <calculatedColumnFormula array="1">MAX(0, SUMPRODUCT(Table2[n_03],Table3[Input])+Table5[b3])</calculatedColumnFormula>
    </tableColumn>
    <tableColumn id="4" xr3:uid="{EF78DBA8-D861-41FE-A41F-24889D7A3BBF}" name="o4">
      <calculatedColumnFormula array="1">MAX(0, SUMPRODUCT(Table2[n_04],Table3[Input])+Table5[b4])</calculatedColumnFormula>
    </tableColumn>
    <tableColumn id="5" xr3:uid="{B5715ECA-23E8-4A8A-9F05-F2D4FDDB50D0}" name="o5">
      <calculatedColumnFormula array="1">MAX(0, SUMPRODUCT(Table2[n_05],Table3[Input])+Table5[b5])</calculatedColumnFormula>
    </tableColumn>
    <tableColumn id="6" xr3:uid="{DBD67291-69CA-4DE1-B9CE-9A697C63BCC6}" name="o6">
      <calculatedColumnFormula array="1">MAX(0, SUMPRODUCT(Table2[n_06],Table3[Input])+Table5[b6])</calculatedColumnFormula>
    </tableColumn>
    <tableColumn id="7" xr3:uid="{861C9A2F-7F65-462C-97D8-8031F9FD1BE9}" name="o7">
      <calculatedColumnFormula array="1">MAX(0, SUMPRODUCT(Table2[n_07],Table3[Input])+Table5[b7])</calculatedColumnFormula>
    </tableColumn>
    <tableColumn id="8" xr3:uid="{148C38ED-F2B2-4605-ACCB-543A47037B19}" name="o8">
      <calculatedColumnFormula array="1">MAX(0, SUMPRODUCT(Table2[n_08],Table3[Input])+Table5[b8])</calculatedColumnFormula>
    </tableColumn>
    <tableColumn id="9" xr3:uid="{DA267CCD-C93A-47D3-B487-A17F62CD4C9E}" name="o9">
      <calculatedColumnFormula array="1">MAX(0, SUMPRODUCT(Table2[n_09],Table3[Input])+Table5[b9])</calculatedColumnFormula>
    </tableColumn>
    <tableColumn id="10" xr3:uid="{BBB7A167-7B23-440C-8554-78D09390277D}" name="o10">
      <calculatedColumnFormula array="1">MAX(0, SUMPRODUCT(Table2[n_10],Table3[Input])+Table5[b10])</calculatedColumnFormula>
    </tableColumn>
    <tableColumn id="11" xr3:uid="{44BEBDD4-6F73-4740-9FE5-BAC82A94FB52}" name="o11">
      <calculatedColumnFormula array="1">MAX(0, SUMPRODUCT(Table2[n_11],Table3[Input])+Table5[b11])</calculatedColumnFormula>
    </tableColumn>
    <tableColumn id="12" xr3:uid="{DDDB7DE7-7134-4736-B4FB-764098F56153}" name="o12">
      <calculatedColumnFormula array="1">MAX(0, SUMPRODUCT(Table2[n_12],Table3[Input])+Table5[b12])</calculatedColumnFormula>
    </tableColumn>
    <tableColumn id="13" xr3:uid="{2A697306-AEDF-4EAA-8E36-C5A3A0C6672E}" name="o13">
      <calculatedColumnFormula array="1">MAX(0, SUMPRODUCT(Table2[n_13],Table3[Input])+Table5[b13])</calculatedColumnFormula>
    </tableColumn>
    <tableColumn id="14" xr3:uid="{19E5D684-5D50-414F-9786-AE8D5B25E6DC}" name="o14">
      <calculatedColumnFormula array="1">MAX(0, SUMPRODUCT(Table2[n_14],Table3[Input])+Table5[b14])</calculatedColumnFormula>
    </tableColumn>
    <tableColumn id="15" xr3:uid="{EC73C9FE-128F-4A2F-9B15-626D763D16C2}" name="o15">
      <calculatedColumnFormula array="1">MAX(0, SUMPRODUCT(Table2[n_15],Table3[Input])+Table5[b15])</calculatedColumnFormula>
    </tableColumn>
    <tableColumn id="16" xr3:uid="{8A1F7002-BDD4-4972-B30F-D23CC5018031}" name="o16">
      <calculatedColumnFormula array="1">MAX(0, SUMPRODUCT(Table2[n_16],Table3[Input])+Table5[b16])</calculatedColumnFormula>
    </tableColumn>
    <tableColumn id="17" xr3:uid="{37A755A8-B71C-4350-A352-1BE4ECC2D6C9}" name="o17">
      <calculatedColumnFormula array="1">MAX(0, SUMPRODUCT(Table2[n_17],Table3[Input])+Table5[b17])</calculatedColumnFormula>
    </tableColumn>
    <tableColumn id="18" xr3:uid="{F940C7A2-38AB-4453-9E53-25371D85CB43}" name="o18">
      <calculatedColumnFormula array="1">MAX(0, SUMPRODUCT(Table2[n_18],Table3[Input])+Table5[b18])</calculatedColumnFormula>
    </tableColumn>
    <tableColumn id="19" xr3:uid="{D898B01A-F6F0-4197-9BC8-F5A6AF49CB56}" name="o19">
      <calculatedColumnFormula array="1">MAX(0, SUMPRODUCT(Table2[n_19],Table3[Input])+Table5[b19])</calculatedColumnFormula>
    </tableColumn>
    <tableColumn id="20" xr3:uid="{5217AC32-7353-48B9-8450-9FC8040A3195}" name="o20">
      <calculatedColumnFormula array="1">MAX(0, SUMPRODUCT(Table2[n_20],Table3[Input])+Table5[b20])</calculatedColumnFormula>
    </tableColumn>
    <tableColumn id="21" xr3:uid="{4D37128C-373C-41B4-B757-D2A9BCC60283}" name="o21">
      <calculatedColumnFormula array="1">MAX(0, SUMPRODUCT(Table2[n_21],Table3[Input])+Table5[b21])</calculatedColumnFormula>
    </tableColumn>
    <tableColumn id="22" xr3:uid="{BD0A24B5-C2A7-4846-A518-D316807BAFAC}" name="o22">
      <calculatedColumnFormula array="1">MAX(0, SUMPRODUCT(Table2[n_22],Table3[Input])+Table5[b22])</calculatedColumnFormula>
    </tableColumn>
    <tableColumn id="23" xr3:uid="{D09302E3-33EA-45B1-A18E-6CD691A7F88F}" name="o23">
      <calculatedColumnFormula array="1">MAX(0, SUMPRODUCT(Table2[n_23],Table3[Input])+Table5[b23])</calculatedColumnFormula>
    </tableColumn>
    <tableColumn id="24" xr3:uid="{AA35DDD2-9AD4-4A78-856E-0032CB8817DE}" name="o24">
      <calculatedColumnFormula array="1">MAX(0, SUMPRODUCT(Table2[n_24],Table3[Input])+Table5[b24])</calculatedColumnFormula>
    </tableColumn>
    <tableColumn id="25" xr3:uid="{A1E51EFA-BE65-410B-B9F1-BE1D55487E8B}" name="o25">
      <calculatedColumnFormula array="1">MAX(0, SUMPRODUCT(Table2[n_25],Table3[Input])+Table5[b25])</calculatedColumnFormula>
    </tableColumn>
    <tableColumn id="26" xr3:uid="{108534BF-5953-442B-9D72-D16ED9740B7F}" name="o26">
      <calculatedColumnFormula array="1">MAX(0, SUMPRODUCT(Table2[n_26],Table3[Input])+Table5[b26])</calculatedColumnFormula>
    </tableColumn>
    <tableColumn id="27" xr3:uid="{8A02824B-AA20-4069-89BE-90B0D716863E}" name="o27">
      <calculatedColumnFormula array="1">MAX(0, SUMPRODUCT(Table2[n_27],Table3[Input])+Table5[b27])</calculatedColumnFormula>
    </tableColumn>
    <tableColumn id="28" xr3:uid="{4BA5C85C-A064-4B80-9A9A-9B35DB7F81EA}" name="o28">
      <calculatedColumnFormula array="1">MAX(0, SUMPRODUCT(Table2[n_28],Table3[Input])+Table5[b28])</calculatedColumnFormula>
    </tableColumn>
    <tableColumn id="29" xr3:uid="{B673B8B8-64AB-4DD1-B1AC-7559C31334AD}" name="o29">
      <calculatedColumnFormula array="1">MAX(0, SUMPRODUCT(Table2[n_29],Table3[Input])+Table5[b29])</calculatedColumnFormula>
    </tableColumn>
    <tableColumn id="30" xr3:uid="{DA87C26F-4473-495E-B7D7-E7992D6734A7}" name="o30">
      <calculatedColumnFormula array="1">MAX(0, SUMPRODUCT(Table2[n_30],Table3[Input])+Table5[b30])</calculatedColumnFormula>
    </tableColumn>
    <tableColumn id="31" xr3:uid="{55875244-3502-46FC-94FD-57F30EF0D4B0}" name="o31">
      <calculatedColumnFormula array="1">MAX(0, SUMPRODUCT(Table2[n_31],Table3[Input])+Table5[b31])</calculatedColumnFormula>
    </tableColumn>
    <tableColumn id="32" xr3:uid="{819C8B19-3FF2-4D43-B243-3B212C371394}" name="o32">
      <calculatedColumnFormula array="1">MAX(0, SUMPRODUCT(Table2[n_32],Table3[Input])+Table5[b32])</calculatedColumnFormula>
    </tableColumn>
    <tableColumn id="33" xr3:uid="{4777565E-6F6C-49C5-8F18-EE14A2B47A43}" name="o33">
      <calculatedColumnFormula array="1">MAX(0, SUMPRODUCT(Table2[n_33],Table3[Input])+Table5[b33])</calculatedColumnFormula>
    </tableColumn>
    <tableColumn id="34" xr3:uid="{5024999B-333F-490B-969A-A8C1C26F3979}" name="o34">
      <calculatedColumnFormula array="1">MAX(0, SUMPRODUCT(Table2[n_34],Table3[Input])+Table5[b34])</calculatedColumnFormula>
    </tableColumn>
    <tableColumn id="35" xr3:uid="{41E578B8-C356-4023-A90A-B277BB3A7183}" name="o35">
      <calculatedColumnFormula array="1">MAX(0, SUMPRODUCT(Table2[n_35],Table3[Input])+Table5[b35])</calculatedColumnFormula>
    </tableColumn>
    <tableColumn id="36" xr3:uid="{FD9A165D-6CDF-4D57-84D7-CE88791FB306}" name="o36">
      <calculatedColumnFormula array="1">MAX(0, SUMPRODUCT(Table2[n_36],Table3[Input])+Table5[b36])</calculatedColumnFormula>
    </tableColumn>
    <tableColumn id="37" xr3:uid="{538E98F2-D471-4CB1-9102-45A9AC15134D}" name="o37">
      <calculatedColumnFormula array="1">MAX(0, SUMPRODUCT(Table2[n_37],Table3[Input])+Table5[b37])</calculatedColumnFormula>
    </tableColumn>
    <tableColumn id="38" xr3:uid="{56669798-DEBD-49A4-8A32-14BDC2D3C155}" name="o38">
      <calculatedColumnFormula array="1">MAX(0, SUMPRODUCT(Table2[n_38],Table3[Input])+Table5[b38])</calculatedColumnFormula>
    </tableColumn>
    <tableColumn id="39" xr3:uid="{0B4077D0-E756-4B29-B577-47BDDFE3C577}" name="o39">
      <calculatedColumnFormula array="1">MAX(0, SUMPRODUCT(Table2[n_39],Table3[Input])+Table5[b39])</calculatedColumnFormula>
    </tableColumn>
    <tableColumn id="40" xr3:uid="{C10E273E-04F9-4851-BC17-5CFB67E991B8}" name="o40">
      <calculatedColumnFormula array="1">MAX(0, SUMPRODUCT(Table2[n_40],Table3[Input])+Table5[b40])</calculatedColumnFormula>
    </tableColumn>
    <tableColumn id="41" xr3:uid="{EE4897AE-65B3-47E2-9866-9F3C5D664022}" name="o41">
      <calculatedColumnFormula array="1">MAX(0, SUMPRODUCT(Table2[n_41],Table3[Input])+Table5[b41])</calculatedColumnFormula>
    </tableColumn>
    <tableColumn id="42" xr3:uid="{1CDFCE42-3543-4AC8-82BD-44CD1D1A7F1D}" name="o42">
      <calculatedColumnFormula array="1">MAX(0, SUMPRODUCT(Table2[n_42],Table3[Input])+Table5[b42])</calculatedColumnFormula>
    </tableColumn>
    <tableColumn id="43" xr3:uid="{5BDAE6B5-7562-4C0C-9174-8A03992A0F80}" name="o43">
      <calculatedColumnFormula array="1">MAX(0, SUMPRODUCT(Table2[n_43],Table3[Input])+Table5[b43])</calculatedColumnFormula>
    </tableColumn>
    <tableColumn id="44" xr3:uid="{0D469991-35C9-4FD5-8AAF-E0C172F65B2B}" name="o44">
      <calculatedColumnFormula array="1">MAX(0, SUMPRODUCT(Table2[n_44],Table3[Input])+Table5[b44])</calculatedColumnFormula>
    </tableColumn>
    <tableColumn id="45" xr3:uid="{01B13C2C-0263-41A4-B14E-7F2740F66D35}" name="o45">
      <calculatedColumnFormula array="1">MAX(0, SUMPRODUCT(Table2[n_45],Table3[Input])+Table5[b45])</calculatedColumnFormula>
    </tableColumn>
    <tableColumn id="46" xr3:uid="{5DEA1A1F-A5F1-4C41-871B-D25579ACC284}" name="o46">
      <calculatedColumnFormula array="1">MAX(0, SUMPRODUCT(Table2[n_46],Table3[Input])+Table5[b46])</calculatedColumnFormula>
    </tableColumn>
    <tableColumn id="47" xr3:uid="{6CF16DF6-14F6-4947-840E-C9FB10CEB949}" name="o47">
      <calculatedColumnFormula array="1">MAX(0, SUMPRODUCT(Table2[n_47],Table3[Input])+Table5[b47])</calculatedColumnFormula>
    </tableColumn>
    <tableColumn id="48" xr3:uid="{880428FD-9F0C-4865-A8F7-9EF05834A0BE}" name="o48">
      <calculatedColumnFormula array="1">MAX(0, SUMPRODUCT(Table2[n_48],Table3[Input])+Table5[b48])</calculatedColumnFormula>
    </tableColumn>
    <tableColumn id="49" xr3:uid="{0D1FBD74-0BE2-48CA-B4DD-F32CCD298B51}" name="o49">
      <calculatedColumnFormula array="1">MAX(0, SUMPRODUCT(Table2[n_49],Table3[Input])+Table5[b49])</calculatedColumnFormula>
    </tableColumn>
    <tableColumn id="50" xr3:uid="{47259725-26E9-4C1E-A14F-A9C376C30ECD}" name="o50">
      <calculatedColumnFormula array="1">MAX(0, SUMPRODUCT(Table2[n_50],Table3[Input])+Table5[b50])</calculatedColumnFormula>
    </tableColumn>
    <tableColumn id="51" xr3:uid="{342C185E-D3AC-47D2-BDB6-698732E4BCA3}" name="o51">
      <calculatedColumnFormula array="1">MAX(0, SUMPRODUCT(Table2[n_51],Table3[Input])+Table5[b51])</calculatedColumnFormula>
    </tableColumn>
    <tableColumn id="52" xr3:uid="{85BC746C-787C-47C4-909D-E0DDF3704AF5}" name="o52">
      <calculatedColumnFormula array="1">MAX(0, SUMPRODUCT(Table2[n_52],Table3[Input])+Table5[b52])</calculatedColumnFormula>
    </tableColumn>
    <tableColumn id="53" xr3:uid="{3A1738DD-759F-4ADC-BEC7-1C709DC07693}" name="o53">
      <calculatedColumnFormula array="1">MAX(0, SUMPRODUCT(Table2[n_53],Table3[Input])+Table5[b53])</calculatedColumnFormula>
    </tableColumn>
    <tableColumn id="54" xr3:uid="{C03EF089-C280-4563-82AE-DA43415D39F6}" name="o54">
      <calculatedColumnFormula array="1">MAX(0, SUMPRODUCT(Table2[n_54],Table3[Input])+Table5[b54])</calculatedColumnFormula>
    </tableColumn>
    <tableColumn id="55" xr3:uid="{B314C4FC-6931-4868-893C-4969F7B9F58B}" name="o55">
      <calculatedColumnFormula array="1">MAX(0, SUMPRODUCT(Table2[n_55],Table3[Input])+Table5[b55])</calculatedColumnFormula>
    </tableColumn>
    <tableColumn id="56" xr3:uid="{0A9E343F-D662-4C32-BBE2-AB81D1050269}" name="o56">
      <calculatedColumnFormula array="1">MAX(0, SUMPRODUCT(Table2[n_56],Table3[Input])+Table5[b56])</calculatedColumnFormula>
    </tableColumn>
    <tableColumn id="57" xr3:uid="{296F2469-7482-4981-B568-C67A4671D316}" name="o57">
      <calculatedColumnFormula array="1">MAX(0, SUMPRODUCT(Table2[n_57],Table3[Input])+Table5[b57])</calculatedColumnFormula>
    </tableColumn>
    <tableColumn id="58" xr3:uid="{7136E43F-60A6-4121-B7E0-DE40AEC06B96}" name="o58">
      <calculatedColumnFormula array="1">MAX(0, SUMPRODUCT(Table2[n_58],Table3[Input])+Table5[b58])</calculatedColumnFormula>
    </tableColumn>
    <tableColumn id="59" xr3:uid="{00C722A2-FD21-4D69-8DFE-4D8827478E65}" name="o59">
      <calculatedColumnFormula array="1">MAX(0, SUMPRODUCT(Table2[n_59],Table3[Input])+Table5[b59])</calculatedColumnFormula>
    </tableColumn>
    <tableColumn id="60" xr3:uid="{8440143B-2F14-4667-9944-86B24DF525A1}" name="o60">
      <calculatedColumnFormula array="1">MAX(0, SUMPRODUCT(Table2[n_60],Table3[Input])+Table5[b60])</calculatedColumnFormula>
    </tableColumn>
    <tableColumn id="61" xr3:uid="{ED326CE6-5F43-4E2E-93BA-F439396C59BC}" name="o61">
      <calculatedColumnFormula array="1">MAX(0, SUMPRODUCT(Table2[n_61],Table3[Input])+Table5[b61])</calculatedColumnFormula>
    </tableColumn>
    <tableColumn id="62" xr3:uid="{2CD034E2-1239-4C7A-9CCE-992D6C1B6321}" name="o62">
      <calculatedColumnFormula array="1">MAX(0, SUMPRODUCT(Table2[n_62],Table3[Input])+Table5[b62])</calculatedColumnFormula>
    </tableColumn>
    <tableColumn id="63" xr3:uid="{F221E543-04C4-442E-88DB-AB9D303CFE3C}" name="o63">
      <calculatedColumnFormula array="1">MAX(0, SUMPRODUCT(Table2[n_63],Table3[Input])+Table5[b63])</calculatedColumnFormula>
    </tableColumn>
    <tableColumn id="64" xr3:uid="{5A48D856-0E77-4249-B5DB-09428C1D7EF9}" name="o64">
      <calculatedColumnFormula array="1">MAX(0, SUMPRODUCT(Table2[n_64],Table3[Input])+Table5[b64])</calculatedColumnFormula>
    </tableColumn>
    <tableColumn id="65" xr3:uid="{BD9158E9-F1A8-49D0-A6CA-53C9C6D31228}" name="o65">
      <calculatedColumnFormula array="1">MAX(0, SUMPRODUCT(Table2[n_65],Table3[Input])+Table5[b65])</calculatedColumnFormula>
    </tableColumn>
    <tableColumn id="66" xr3:uid="{A6E320CD-B37B-4B00-B8F5-C41E13BC2BB6}" name="o66">
      <calculatedColumnFormula array="1">MAX(0, SUMPRODUCT(Table2[n_66],Table3[Input])+Table5[b66])</calculatedColumnFormula>
    </tableColumn>
    <tableColumn id="67" xr3:uid="{8053CD3B-882D-4F67-8688-2BB44CA89645}" name="o67">
      <calculatedColumnFormula array="1">MAX(0, SUMPRODUCT(Table2[n_67],Table3[Input])+Table5[b67])</calculatedColumnFormula>
    </tableColumn>
    <tableColumn id="68" xr3:uid="{514257FB-B91E-4522-8846-AC33FEFA2F09}" name="o68">
      <calculatedColumnFormula array="1">MAX(0, SUMPRODUCT(Table2[n_68],Table3[Input])+Table5[b68])</calculatedColumnFormula>
    </tableColumn>
    <tableColumn id="69" xr3:uid="{477A7688-E240-4547-818B-6CF2E7123FBD}" name="o69">
      <calculatedColumnFormula array="1">MAX(0, SUMPRODUCT(Table2[n_69],Table3[Input])+Table5[b69])</calculatedColumnFormula>
    </tableColumn>
    <tableColumn id="70" xr3:uid="{3257F67F-35CC-439C-BB68-31DD72C3D9AB}" name="o70">
      <calculatedColumnFormula array="1">MAX(0, SUMPRODUCT(Table2[n_70],Table3[Input])+Table5[b70])</calculatedColumnFormula>
    </tableColumn>
    <tableColumn id="71" xr3:uid="{053CBE0C-5EC5-4A89-ABF6-88E886A512C0}" name="o71">
      <calculatedColumnFormula array="1">MAX(0, SUMPRODUCT(Table2[n_71],Table3[Input])+Table5[b71])</calculatedColumnFormula>
    </tableColumn>
    <tableColumn id="72" xr3:uid="{A3B29B34-E714-4772-89A6-18E2957188A6}" name="o72">
      <calculatedColumnFormula array="1">MAX(0, SUMPRODUCT(Table2[n_72],Table3[Input])+Table5[b72])</calculatedColumnFormula>
    </tableColumn>
    <tableColumn id="73" xr3:uid="{157DC564-09DA-4321-92F9-B8AEB14E2EF0}" name="o73">
      <calculatedColumnFormula array="1">MAX(0, SUMPRODUCT(Table2[n_73],Table3[Input])+Table5[b73])</calculatedColumnFormula>
    </tableColumn>
    <tableColumn id="74" xr3:uid="{460B47E4-D7BD-419C-BD45-77DFF3AF8058}" name="o74">
      <calculatedColumnFormula array="1">MAX(0, SUMPRODUCT(Table2[n_74],Table3[Input])+Table5[b74])</calculatedColumnFormula>
    </tableColumn>
    <tableColumn id="75" xr3:uid="{E7F30A9B-81CB-4511-8069-910244BAB72C}" name="o75">
      <calculatedColumnFormula array="1">MAX(0, SUMPRODUCT(Table2[n_75],Table3[Input])+Table5[b75])</calculatedColumnFormula>
    </tableColumn>
    <tableColumn id="76" xr3:uid="{B8DF5FD8-6B18-4E83-A094-D8E0E3E1FAF4}" name="o76">
      <calculatedColumnFormula array="1">MAX(0, SUMPRODUCT(Table2[n_76],Table3[Input])+Table5[b76])</calculatedColumnFormula>
    </tableColumn>
    <tableColumn id="77" xr3:uid="{5400E6BA-2A57-4D40-B826-7D3E190A6220}" name="o77">
      <calculatedColumnFormula array="1">MAX(0, SUMPRODUCT(Table2[n_77],Table3[Input])+Table5[b77])</calculatedColumnFormula>
    </tableColumn>
    <tableColumn id="78" xr3:uid="{26ECA223-4EED-4907-8334-1AF7EDB72801}" name="o78">
      <calculatedColumnFormula array="1">MAX(0, SUMPRODUCT(Table2[n_78],Table3[Input])+Table5[b78])</calculatedColumnFormula>
    </tableColumn>
    <tableColumn id="79" xr3:uid="{FA61CADC-68DC-4FAC-B44C-35CAFD201489}" name="o79">
      <calculatedColumnFormula array="1">MAX(0, SUMPRODUCT(Table2[n_79],Table3[Input])+Table5[b79])</calculatedColumnFormula>
    </tableColumn>
    <tableColumn id="80" xr3:uid="{6ADE04B2-4573-4A64-BE20-0BF09A5BB30D}" name="o80">
      <calculatedColumnFormula array="1">MAX(0, SUMPRODUCT(Table2[n_80],Table3[Input])+Table5[b80])</calculatedColumnFormula>
    </tableColumn>
    <tableColumn id="81" xr3:uid="{ACF2F20C-827E-418B-8C2A-D29A4FCDE5D1}" name="o81">
      <calculatedColumnFormula array="1">MAX(0, SUMPRODUCT(Table2[n_81],Table3[Input])+Table5[b81])</calculatedColumnFormula>
    </tableColumn>
    <tableColumn id="82" xr3:uid="{1A8C059A-29A4-4997-893F-9B5B99CDDBA4}" name="o82">
      <calculatedColumnFormula array="1">MAX(0, SUMPRODUCT(Table2[n_82],Table3[Input])+Table5[b82])</calculatedColumnFormula>
    </tableColumn>
    <tableColumn id="83" xr3:uid="{6B4615FF-064A-427C-84EE-85E571B7382B}" name="o83">
      <calculatedColumnFormula array="1">MAX(0, SUMPRODUCT(Table2[n_83],Table3[Input])+Table5[b83])</calculatedColumnFormula>
    </tableColumn>
    <tableColumn id="84" xr3:uid="{2316B1D0-C5B9-4A06-AB79-D6BFF6DC4F9C}" name="o84">
      <calculatedColumnFormula array="1">MAX(0, SUMPRODUCT(Table2[n_84],Table3[Input])+Table5[b84])</calculatedColumnFormula>
    </tableColumn>
    <tableColumn id="85" xr3:uid="{2980C49D-FACA-461D-849B-B9266847C03C}" name="o85">
      <calculatedColumnFormula array="1">MAX(0, SUMPRODUCT(Table2[n_85],Table3[Input])+Table5[b85])</calculatedColumnFormula>
    </tableColumn>
    <tableColumn id="86" xr3:uid="{C778DE5B-8DE2-4BFB-8387-BE09D1FC5093}" name="o86">
      <calculatedColumnFormula array="1">MAX(0, SUMPRODUCT(Table2[n_86],Table3[Input])+Table5[b86])</calculatedColumnFormula>
    </tableColumn>
    <tableColumn id="87" xr3:uid="{65D6F11F-F021-46EA-B64A-19FEBF77612A}" name="o87">
      <calculatedColumnFormula array="1">MAX(0, SUMPRODUCT(Table2[n_87],Table3[Input])+Table5[b87])</calculatedColumnFormula>
    </tableColumn>
    <tableColumn id="88" xr3:uid="{BD10FD21-51AE-43EC-974A-4C8015273387}" name="o88">
      <calculatedColumnFormula array="1">MAX(0, SUMPRODUCT(Table2[n_88],Table3[Input])+Table5[b88])</calculatedColumnFormula>
    </tableColumn>
    <tableColumn id="89" xr3:uid="{6199DC1C-5296-4126-AC4E-A482B5425AEB}" name="o89">
      <calculatedColumnFormula array="1">MAX(0, SUMPRODUCT(Table2[n_89],Table3[Input])+Table5[b89])</calculatedColumnFormula>
    </tableColumn>
    <tableColumn id="90" xr3:uid="{C2A2D367-CE60-4BE5-A572-1282F2AC24D5}" name="o90">
      <calculatedColumnFormula array="1">MAX(0, SUMPRODUCT(Table2[n_90],Table3[Input])+Table5[b90])</calculatedColumnFormula>
    </tableColumn>
    <tableColumn id="91" xr3:uid="{E88FB8DB-2867-4EDB-B57A-0C05E4DFE69C}" name="o91">
      <calculatedColumnFormula array="1">MAX(0, SUMPRODUCT(Table2[n_91],Table3[Input])+Table5[b91])</calculatedColumnFormula>
    </tableColumn>
    <tableColumn id="92" xr3:uid="{A31CC8BD-D8FF-4187-9A01-884C4025B7D2}" name="o92">
      <calculatedColumnFormula array="1">MAX(0, SUMPRODUCT(Table2[n_92],Table3[Input])+Table5[b92])</calculatedColumnFormula>
    </tableColumn>
    <tableColumn id="93" xr3:uid="{171BBA68-26F1-4CB1-9737-8F0757C43099}" name="o93">
      <calculatedColumnFormula array="1">MAX(0, SUMPRODUCT(Table2[n_93],Table3[Input])+Table5[b93])</calculatedColumnFormula>
    </tableColumn>
    <tableColumn id="94" xr3:uid="{BBE29CFA-0F8D-4937-86D1-5EE06228A419}" name="o94">
      <calculatedColumnFormula array="1">MAX(0, SUMPRODUCT(Table2[n_94],Table3[Input])+Table5[b94])</calculatedColumnFormula>
    </tableColumn>
    <tableColumn id="95" xr3:uid="{EE6FA8A2-800F-46FD-BD3E-56FA7FB6DDE0}" name="o95">
      <calculatedColumnFormula array="1">MAX(0, SUMPRODUCT(Table2[n_95],Table3[Input])+Table5[b95])</calculatedColumnFormula>
    </tableColumn>
    <tableColumn id="96" xr3:uid="{7CCE8EAB-D1EF-4367-8ECB-F9524BED9841}" name="o96">
      <calculatedColumnFormula array="1">MAX(0, SUMPRODUCT(Table2[n_96],Table3[Input])+Table5[b96])</calculatedColumnFormula>
    </tableColumn>
    <tableColumn id="97" xr3:uid="{21FF750D-1B7D-447E-86AF-666872A3F515}" name="o97">
      <calculatedColumnFormula array="1">MAX(0, SUMPRODUCT(Table2[n_97],Table3[Input])+Table5[b97])</calculatedColumnFormula>
    </tableColumn>
    <tableColumn id="98" xr3:uid="{84D2D56F-328B-46DE-95D1-DD8C50EFA40E}" name="o98">
      <calculatedColumnFormula array="1">MAX(0, SUMPRODUCT(Table2[n_98],Table3[Input])+Table5[b98])</calculatedColumnFormula>
    </tableColumn>
    <tableColumn id="99" xr3:uid="{09CFD8F7-8B5A-4C4D-8E56-5858909AAB8F}" name="o99">
      <calculatedColumnFormula array="1">MAX(0, SUMPRODUCT(Table2[n_99],Table3[Input])+Table5[b99])</calculatedColumnFormula>
    </tableColumn>
    <tableColumn id="100" xr3:uid="{897FF234-B2AC-41F0-8F04-D60DDFC4E93A}" name="o100">
      <calculatedColumnFormula array="1">MAX(0, SUMPRODUCT(Table2[n_100],Table3[Input])+Table5[b100])</calculatedColumnFormula>
    </tableColumn>
    <tableColumn id="101" xr3:uid="{29B15FC5-AED4-47D0-AA55-5A1160742534}" name="o101">
      <calculatedColumnFormula array="1">MAX(0, SUMPRODUCT(Table2[n_101],Table3[Input])+Table5[b101])</calculatedColumnFormula>
    </tableColumn>
    <tableColumn id="102" xr3:uid="{A7FC1F1C-C887-4E41-A65B-443573E54531}" name="o102">
      <calculatedColumnFormula array="1">MAX(0, SUMPRODUCT(Table2[n_102],Table3[Input])+Table5[b102])</calculatedColumnFormula>
    </tableColumn>
    <tableColumn id="103" xr3:uid="{5A44707E-1032-4C42-AE12-6634375E3F44}" name="o103">
      <calculatedColumnFormula array="1">MAX(0, SUMPRODUCT(Table2[n_103],Table3[Input])+Table5[b103])</calculatedColumnFormula>
    </tableColumn>
    <tableColumn id="104" xr3:uid="{3D5E7B8A-7B9E-48DA-8F41-C1AF444928C7}" name="o104">
      <calculatedColumnFormula array="1">MAX(0, SUMPRODUCT(Table2[n_104],Table3[Input])+Table5[b104])</calculatedColumnFormula>
    </tableColumn>
    <tableColumn id="105" xr3:uid="{D7C9D512-1080-4721-ACDE-333DFD9CA8E3}" name="o105">
      <calculatedColumnFormula array="1">MAX(0, SUMPRODUCT(Table2[n_105],Table3[Input])+Table5[b105])</calculatedColumnFormula>
    </tableColumn>
    <tableColumn id="106" xr3:uid="{389A6343-09E5-4A08-9B55-AF5C458CE01E}" name="o106">
      <calculatedColumnFormula array="1">MAX(0, SUMPRODUCT(Table2[n_106],Table3[Input])+Table5[b106])</calculatedColumnFormula>
    </tableColumn>
    <tableColumn id="107" xr3:uid="{B229BD73-011A-4320-9356-549143205AC7}" name="o107">
      <calculatedColumnFormula array="1">MAX(0, SUMPRODUCT(Table2[n_107],Table3[Input])+Table5[b107])</calculatedColumnFormula>
    </tableColumn>
    <tableColumn id="108" xr3:uid="{C9474975-81A0-4151-8AE8-191291363172}" name="o108">
      <calculatedColumnFormula array="1">MAX(0, SUMPRODUCT(Table2[n_108],Table3[Input])+Table5[b108])</calculatedColumnFormula>
    </tableColumn>
    <tableColumn id="109" xr3:uid="{02ED2D31-610E-4DEF-BC98-3C8E6F8BF4E3}" name="o109">
      <calculatedColumnFormula array="1">MAX(0, SUMPRODUCT(Table2[n_109],Table3[Input])+Table5[b109])</calculatedColumnFormula>
    </tableColumn>
    <tableColumn id="110" xr3:uid="{3068F955-F317-4418-80A8-73DB3E04CDBA}" name="o110">
      <calculatedColumnFormula array="1">MAX(0, SUMPRODUCT(Table2[n_110],Table3[Input])+Table5[b110])</calculatedColumnFormula>
    </tableColumn>
    <tableColumn id="111" xr3:uid="{FEE2F23F-AB73-4154-BFBA-ACEA141BA395}" name="o111">
      <calculatedColumnFormula array="1">MAX(0, SUMPRODUCT(Table2[n_111],Table3[Input])+Table5[b111])</calculatedColumnFormula>
    </tableColumn>
    <tableColumn id="112" xr3:uid="{3E50A0BC-4BC1-4C26-BF31-E857AB79A488}" name="o112">
      <calculatedColumnFormula array="1">MAX(0, SUMPRODUCT(Table2[n_112],Table3[Input])+Table5[b112])</calculatedColumnFormula>
    </tableColumn>
    <tableColumn id="113" xr3:uid="{5BA07762-7B6F-4E2F-AF77-A84445E236F2}" name="o113">
      <calculatedColumnFormula array="1">MAX(0, SUMPRODUCT(Table2[n_113],Table3[Input])+Table5[b113])</calculatedColumnFormula>
    </tableColumn>
    <tableColumn id="114" xr3:uid="{5CFE3EB1-687C-4863-9B45-738CA242DE19}" name="o114">
      <calculatedColumnFormula array="1">MAX(0, SUMPRODUCT(Table2[n_114],Table3[Input])+Table5[b114])</calculatedColumnFormula>
    </tableColumn>
    <tableColumn id="115" xr3:uid="{FEDCC510-B188-40F0-A816-F119B0275DDC}" name="o115">
      <calculatedColumnFormula array="1">MAX(0, SUMPRODUCT(Table2[n_115],Table3[Input])+Table5[b115])</calculatedColumnFormula>
    </tableColumn>
    <tableColumn id="116" xr3:uid="{00817951-073B-4B29-BAB6-00FA7F8A62F7}" name="o116">
      <calculatedColumnFormula array="1">MAX(0, SUMPRODUCT(Table2[n_116],Table3[Input])+Table5[b116])</calculatedColumnFormula>
    </tableColumn>
    <tableColumn id="117" xr3:uid="{CAF3FFE8-B667-4500-B4F5-984792C1C453}" name="o117">
      <calculatedColumnFormula array="1">MAX(0, SUMPRODUCT(Table2[n_117],Table3[Input])+Table5[b117])</calculatedColumnFormula>
    </tableColumn>
    <tableColumn id="118" xr3:uid="{C771AA6A-0C83-4792-AFD5-5C1513F75992}" name="o118">
      <calculatedColumnFormula array="1">MAX(0, SUMPRODUCT(Table2[n_118],Table3[Input])+Table5[b118])</calculatedColumnFormula>
    </tableColumn>
    <tableColumn id="119" xr3:uid="{798094D0-4030-4BB7-B1CF-7BE348794311}" name="o119">
      <calculatedColumnFormula array="1">MAX(0, SUMPRODUCT(Table2[n_119],Table3[Input])+Table5[b119])</calculatedColumnFormula>
    </tableColumn>
    <tableColumn id="120" xr3:uid="{F2A746A4-AEE0-48D1-91CF-52905B910E5F}" name="o120">
      <calculatedColumnFormula array="1">MAX(0, SUMPRODUCT(Table2[n_120],Table3[Input])+Table5[b120])</calculatedColumnFormula>
    </tableColumn>
    <tableColumn id="121" xr3:uid="{8F013D81-8138-4CF9-9C75-9369AE5B472A}" name="o121">
      <calculatedColumnFormula array="1">MAX(0, SUMPRODUCT(Table2[n_121],Table3[Input])+Table5[b121])</calculatedColumnFormula>
    </tableColumn>
    <tableColumn id="122" xr3:uid="{33C716F3-2F07-472A-862E-0B99D3F5C2EB}" name="o122">
      <calculatedColumnFormula array="1">MAX(0, SUMPRODUCT(Table2[n_122],Table3[Input])+Table5[b122])</calculatedColumnFormula>
    </tableColumn>
    <tableColumn id="123" xr3:uid="{5304AA29-BA0F-4223-947C-93EAA57EE7D2}" name="o123">
      <calculatedColumnFormula array="1">MAX(0, SUMPRODUCT(Table2[n_123],Table3[Input])+Table5[b123])</calculatedColumnFormula>
    </tableColumn>
    <tableColumn id="124" xr3:uid="{59E3D430-137D-442D-9375-8906E22810D7}" name="o124">
      <calculatedColumnFormula array="1">MAX(0, SUMPRODUCT(Table2[n_124],Table3[Input])+Table5[b124])</calculatedColumnFormula>
    </tableColumn>
    <tableColumn id="125" xr3:uid="{CE2AE20F-0BFE-43A8-91A3-5D0028A5B00C}" name="o125">
      <calculatedColumnFormula array="1">MAX(0, SUMPRODUCT(Table2[n_125],Table3[Input])+Table5[b125])</calculatedColumnFormula>
    </tableColumn>
    <tableColumn id="126" xr3:uid="{4BDFCD70-12D5-49BD-BA7B-5E303F3A5301}" name="o126">
      <calculatedColumnFormula array="1">MAX(0, SUMPRODUCT(Table2[n_126],Table3[Input])+Table5[b126])</calculatedColumnFormula>
    </tableColumn>
    <tableColumn id="127" xr3:uid="{B9E89A3D-51D6-40A2-A8EE-3147605F8437}" name="o127">
      <calculatedColumnFormula array="1">MAX(0, SUMPRODUCT(Table2[n_127],Table3[Input])+Table5[b127])</calculatedColumnFormula>
    </tableColumn>
    <tableColumn id="128" xr3:uid="{E8BBCC6C-F352-4723-9467-07C43E8FDB7D}" name="o128">
      <calculatedColumnFormula array="1">MAX(0, SUMPRODUCT(Table2[n_128],Table3[Input])+Table5[b128])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A9A219-7DD1-47E0-8AC3-B35D1D4D4014}" name="Table5" displayName="Table5" ref="C150:DZ151" totalsRowShown="0">
  <autoFilter ref="C150:DZ151" xr:uid="{AD31BCDE-48AD-4703-AF0B-643227CD7ECE}"/>
  <tableColumns count="128">
    <tableColumn id="1" xr3:uid="{162E5D58-2C34-486A-B89E-DF6FCB68A9B4}" name="b1"/>
    <tableColumn id="2" xr3:uid="{B70A3B1D-97EA-45A2-B00C-407BEC569868}" name="b2"/>
    <tableColumn id="3" xr3:uid="{924A1A9F-018B-4500-9378-48469D4DE01B}" name="b3"/>
    <tableColumn id="4" xr3:uid="{3A2D2D5D-0DB6-4235-930B-F85B0D8B2889}" name="b4"/>
    <tableColumn id="5" xr3:uid="{02D79B60-7705-4460-8AAA-E83A43C01D9F}" name="b5"/>
    <tableColumn id="6" xr3:uid="{DAE2FEB2-FB8D-4731-8937-8DB8AEF22AEE}" name="b6"/>
    <tableColumn id="7" xr3:uid="{3AE6A65C-0E33-4667-BBF1-18E18F59FFE1}" name="b7"/>
    <tableColumn id="8" xr3:uid="{9C597F80-5766-4157-9FA6-8B54B0CFE801}" name="b8"/>
    <tableColumn id="9" xr3:uid="{EDD235F8-011F-4596-A5E3-6EE314226C40}" name="b9"/>
    <tableColumn id="10" xr3:uid="{A2C3C8F4-B893-44C8-9270-BE28834AA9BE}" name="b10"/>
    <tableColumn id="11" xr3:uid="{9787344B-C3EE-4D6B-8FE6-32CFDDAAA316}" name="b11"/>
    <tableColumn id="12" xr3:uid="{21F5DBC6-4B02-4435-B0DA-71B2C9CA9B86}" name="b12"/>
    <tableColumn id="13" xr3:uid="{575FDE74-FC85-4A43-B3ED-B43D858BD1D1}" name="b13"/>
    <tableColumn id="14" xr3:uid="{C44041C9-7B4B-4273-AFE3-9DBF4FEFBC8B}" name="b14"/>
    <tableColumn id="15" xr3:uid="{0A86C967-3215-4ADB-8C82-CFAECD344901}" name="b15"/>
    <tableColumn id="16" xr3:uid="{2B72DD60-D866-4589-AD50-D4733C1DAD36}" name="b16"/>
    <tableColumn id="17" xr3:uid="{B1E62F05-A7E4-478F-89C2-6BFC75398B6D}" name="b17"/>
    <tableColumn id="18" xr3:uid="{10DB8343-7890-466D-83A5-A9C34610F7B8}" name="b18"/>
    <tableColumn id="19" xr3:uid="{DF9A78E4-DABC-47E4-8499-BCBDF5E13ECB}" name="b19"/>
    <tableColumn id="20" xr3:uid="{1892A31A-6F1C-49E8-9313-004EADCA1AD2}" name="b20"/>
    <tableColumn id="21" xr3:uid="{64CBF4DE-B4F8-4D6C-84E2-6F1A914327CB}" name="b21"/>
    <tableColumn id="22" xr3:uid="{A48675F8-C8DB-46EC-A2E1-5280DE411020}" name="b22"/>
    <tableColumn id="23" xr3:uid="{DC4B21B3-70F8-4DFE-ACED-54B930FE840F}" name="b23"/>
    <tableColumn id="24" xr3:uid="{10A0E397-91F5-4040-ADA6-91540BA8D753}" name="b24"/>
    <tableColumn id="25" xr3:uid="{E17B8CB9-36F8-4854-85F5-F46C3E52C13A}" name="b25"/>
    <tableColumn id="26" xr3:uid="{794D26DC-27C2-4BF4-9504-BB91E6171A89}" name="b26"/>
    <tableColumn id="27" xr3:uid="{2715AA71-C1A6-4209-8439-CB74DAC0708C}" name="b27"/>
    <tableColumn id="28" xr3:uid="{16BF679C-5969-43A4-8F91-E0D46902ABB8}" name="b28"/>
    <tableColumn id="29" xr3:uid="{326C0A37-AD82-4C33-A3A7-281AADE50261}" name="b29"/>
    <tableColumn id="30" xr3:uid="{02B63870-1544-4D2D-8DBD-67CAE9AC88CF}" name="b30"/>
    <tableColumn id="31" xr3:uid="{B2B1E84C-1D79-48DE-BC1E-3ED65D4A1946}" name="b31"/>
    <tableColumn id="32" xr3:uid="{5747320E-366B-4030-9B9B-FF23EF0D95B6}" name="b32"/>
    <tableColumn id="33" xr3:uid="{6ADC5610-A7D8-433E-B4E7-11C4890CD94C}" name="b33"/>
    <tableColumn id="34" xr3:uid="{4688C8A4-9108-4827-A1ED-CD57965AC569}" name="b34"/>
    <tableColumn id="35" xr3:uid="{08295607-8724-4DCF-9585-1D27992F4CD8}" name="b35"/>
    <tableColumn id="36" xr3:uid="{D54DCBC6-8CBF-4552-8473-5F3E1756D345}" name="b36"/>
    <tableColumn id="37" xr3:uid="{63B4F8D1-FA12-4F8A-82CE-CB6ACD3DED14}" name="b37"/>
    <tableColumn id="38" xr3:uid="{ECB62B08-4B27-4B1E-AE80-3C13C9384C12}" name="b38"/>
    <tableColumn id="39" xr3:uid="{2F8014B4-C3EC-41DD-9BCE-40A713365110}" name="b39"/>
    <tableColumn id="40" xr3:uid="{68C98010-ED6C-4DFA-AE44-62875F2344C3}" name="b40"/>
    <tableColumn id="41" xr3:uid="{484C13BF-3BAA-469E-8CDC-4AF2A54362A2}" name="b41"/>
    <tableColumn id="42" xr3:uid="{9538760B-D7CC-4203-9A15-20EA59E91F21}" name="b42"/>
    <tableColumn id="43" xr3:uid="{D6C0EEB8-0CF9-4C8D-ABC4-2A9C717B7E4F}" name="b43"/>
    <tableColumn id="44" xr3:uid="{0667C5F8-31E4-406C-9F44-3AC060E592AA}" name="b44"/>
    <tableColumn id="45" xr3:uid="{4DB3201D-CCC8-4D42-BEED-DC8391EF7A66}" name="b45"/>
    <tableColumn id="46" xr3:uid="{34C6835F-CCE2-4472-A8F7-287C8919EF48}" name="b46"/>
    <tableColumn id="47" xr3:uid="{B39934C6-FD5D-4E65-8E1F-16DE4F25FE78}" name="b47"/>
    <tableColumn id="48" xr3:uid="{AD69801F-E736-4E2B-BEF5-C63AC527E2EF}" name="b48"/>
    <tableColumn id="49" xr3:uid="{94D9DDE0-17DE-456F-B5CF-B3B2A8C633DA}" name="b49"/>
    <tableColumn id="50" xr3:uid="{E87A8638-88CD-4D49-8DCF-27ABABB97321}" name="b50"/>
    <tableColumn id="51" xr3:uid="{207E8793-1118-4E15-9FD0-26CB4E5BF11B}" name="b51"/>
    <tableColumn id="52" xr3:uid="{4E24CD8F-430B-4F6A-ABF2-AFFEFB8D5F2E}" name="b52"/>
    <tableColumn id="53" xr3:uid="{97F922E3-7CF7-4DCC-8BCD-E8618390139C}" name="b53"/>
    <tableColumn id="54" xr3:uid="{BFBDEC04-6B76-47BB-BBB4-57498E03E842}" name="b54"/>
    <tableColumn id="55" xr3:uid="{F2E55D7F-B521-4910-A5FE-C73473D96DC7}" name="b55"/>
    <tableColumn id="56" xr3:uid="{8CEED04D-2434-41AA-A6AF-3A18F8ECC835}" name="b56"/>
    <tableColumn id="57" xr3:uid="{9E493641-6C6D-4AEC-B165-490A167520D9}" name="b57"/>
    <tableColumn id="58" xr3:uid="{584D86F7-760B-4D15-9F6F-3800F508FD24}" name="b58"/>
    <tableColumn id="59" xr3:uid="{19A220E1-11D9-47B7-A17E-51C1B52EEF25}" name="b59"/>
    <tableColumn id="60" xr3:uid="{E7C94A7B-DBBF-43D7-BC2E-966A98FE1CB1}" name="b60"/>
    <tableColumn id="61" xr3:uid="{A53887AE-EDFE-47F7-968B-A48FE949B9B2}" name="b61"/>
    <tableColumn id="62" xr3:uid="{B85EE91F-75C1-4001-B262-6ACBD6BCFDA7}" name="b62"/>
    <tableColumn id="63" xr3:uid="{D9EC6BC6-2744-474F-BCD8-AA02FA2B5366}" name="b63"/>
    <tableColumn id="64" xr3:uid="{E12DD818-D3B2-411B-83DC-89B3FD728FCA}" name="b64"/>
    <tableColumn id="65" xr3:uid="{1335FF13-19A1-4A8B-826B-25D5491D7807}" name="b65"/>
    <tableColumn id="66" xr3:uid="{FB9BEE06-72BF-495C-897E-0F76FA6AF7F5}" name="b66"/>
    <tableColumn id="67" xr3:uid="{F1F80004-0FB9-4419-A78B-284A5B537067}" name="b67"/>
    <tableColumn id="68" xr3:uid="{8965E44A-CEE2-4351-BBDC-B37FE38C08C4}" name="b68"/>
    <tableColumn id="69" xr3:uid="{F3377683-4934-42FA-B33C-3223FD1452D1}" name="b69"/>
    <tableColumn id="70" xr3:uid="{DC71ED6C-7A85-454C-9D86-2CFE3B7714EC}" name="b70"/>
    <tableColumn id="71" xr3:uid="{B81CECC8-C157-47A4-8B80-012D0FDF3DE0}" name="b71"/>
    <tableColumn id="72" xr3:uid="{38153BEF-D04A-48CE-B463-3ED257E2F237}" name="b72"/>
    <tableColumn id="73" xr3:uid="{BF3AD9F5-671B-4239-84CB-1646FDBF00B5}" name="b73"/>
    <tableColumn id="74" xr3:uid="{4B04F021-76FE-4830-A172-FAF56A31E740}" name="b74"/>
    <tableColumn id="75" xr3:uid="{44D4E812-F7AF-42E8-836A-9DD449745260}" name="b75"/>
    <tableColumn id="76" xr3:uid="{75246D71-C82B-46F2-BC92-D95D4AA554A6}" name="b76"/>
    <tableColumn id="77" xr3:uid="{7A9C7B13-91A3-4152-94B5-E74107C0EA96}" name="b77"/>
    <tableColumn id="78" xr3:uid="{674AF5F5-3CFB-461F-8CED-79C386648CE1}" name="b78"/>
    <tableColumn id="79" xr3:uid="{B866072C-4002-4052-8F35-7514C796D1C5}" name="b79"/>
    <tableColumn id="80" xr3:uid="{94052BAF-8F01-404B-B7A6-A731B7D2876A}" name="b80"/>
    <tableColumn id="81" xr3:uid="{A649D4AD-C8D6-4B8F-A8FE-B5CF58AFCEE2}" name="b81"/>
    <tableColumn id="82" xr3:uid="{5B33660D-3F33-45B7-BC7E-3C79AA20327F}" name="b82"/>
    <tableColumn id="83" xr3:uid="{AE79818A-4993-41C6-AAA2-81DB06AA5118}" name="b83"/>
    <tableColumn id="84" xr3:uid="{5D37234A-8951-464C-A4A6-E164F2A1F465}" name="b84"/>
    <tableColumn id="85" xr3:uid="{607CA3C5-3590-46CF-AFE7-979979354FB6}" name="b85"/>
    <tableColumn id="86" xr3:uid="{C8BD8F60-FD38-4F97-814C-229AA83198AD}" name="b86"/>
    <tableColumn id="87" xr3:uid="{5D6107CB-BD6D-47A5-B8D5-EB2D12224C79}" name="b87"/>
    <tableColumn id="88" xr3:uid="{04DAB810-9D3D-4F9E-803A-83539B9B9122}" name="b88"/>
    <tableColumn id="89" xr3:uid="{1B936A42-510E-4BF4-8E0F-B99CED5681A3}" name="b89"/>
    <tableColumn id="90" xr3:uid="{055BBF92-3780-423F-B9EB-C67217307DF6}" name="b90"/>
    <tableColumn id="91" xr3:uid="{B050FB71-2B73-4216-951A-D950A3E625B3}" name="b91"/>
    <tableColumn id="92" xr3:uid="{CF9CCB4A-EAA7-451A-9F3D-9D488E74F8FE}" name="b92"/>
    <tableColumn id="93" xr3:uid="{E45F8135-6CED-4113-9A42-194203C7EEDE}" name="b93"/>
    <tableColumn id="94" xr3:uid="{908E0869-CF14-43B3-AC21-F5E32C2135CC}" name="b94"/>
    <tableColumn id="95" xr3:uid="{DCF709D1-2059-4130-8EFA-1F51DCD42BEF}" name="b95"/>
    <tableColumn id="96" xr3:uid="{2512DF6D-C719-4D37-B8E6-B71333838909}" name="b96"/>
    <tableColumn id="97" xr3:uid="{97655169-B652-4A38-8EEC-578037CA9EBE}" name="b97"/>
    <tableColumn id="98" xr3:uid="{EB2C78BB-BCAE-491D-9592-F9DDC697024A}" name="b98"/>
    <tableColumn id="99" xr3:uid="{C90695AE-C6F9-4641-B0FA-3E075FA41293}" name="b99"/>
    <tableColumn id="100" xr3:uid="{6D9030B3-6EF8-4AE0-968D-AD3D5D50726B}" name="b100"/>
    <tableColumn id="101" xr3:uid="{480EB8CC-43CD-4EBE-B462-CA341B0FC5BE}" name="b101"/>
    <tableColumn id="102" xr3:uid="{7F61B241-CD79-441C-A76F-99689CB11020}" name="b102"/>
    <tableColumn id="103" xr3:uid="{F423CF33-B8D0-4060-BE55-08BCAD8FCBB5}" name="b103"/>
    <tableColumn id="104" xr3:uid="{790D6EAC-98B5-40D5-BA86-A43F273F9635}" name="b104"/>
    <tableColumn id="105" xr3:uid="{CCD6E0D9-C119-4DE5-A199-63731B09A254}" name="b105"/>
    <tableColumn id="106" xr3:uid="{5AD69690-A856-4BB9-B0E7-82D02022B42B}" name="b106"/>
    <tableColumn id="107" xr3:uid="{FAA7CF68-F8F9-488D-80E7-C169895D572F}" name="b107"/>
    <tableColumn id="108" xr3:uid="{3C1F1215-E4AA-427B-94A3-C4F8AF04E95B}" name="b108"/>
    <tableColumn id="109" xr3:uid="{669009F5-E156-4B57-880D-9E27E8402705}" name="b109"/>
    <tableColumn id="110" xr3:uid="{E4AF5E29-9134-4D93-8CE2-5C6F79FCDB38}" name="b110"/>
    <tableColumn id="111" xr3:uid="{29C3C0D9-5888-4E91-B106-6009D318FE96}" name="b111"/>
    <tableColumn id="112" xr3:uid="{F197C4A9-BE24-4A1E-8776-EC10AC6839E9}" name="b112"/>
    <tableColumn id="113" xr3:uid="{37AA4EDA-9353-434F-A4D1-0EC089E5EC4C}" name="b113"/>
    <tableColumn id="114" xr3:uid="{3548BB04-BE81-46EE-8348-67EAD94DDEEE}" name="b114"/>
    <tableColumn id="115" xr3:uid="{C3CF4AD4-4A73-4016-BA5F-6443219B0376}" name="b115"/>
    <tableColumn id="116" xr3:uid="{BD356833-B72C-4489-B89C-42BE4E30FF77}" name="b116"/>
    <tableColumn id="117" xr3:uid="{261B00A3-3BF3-4798-8374-49D6FB0715B5}" name="b117"/>
    <tableColumn id="118" xr3:uid="{38CA024F-9365-41C6-BACD-931CD908CD05}" name="b118"/>
    <tableColumn id="119" xr3:uid="{990D290E-B133-4D86-A917-E94C91E0356B}" name="b119"/>
    <tableColumn id="120" xr3:uid="{CAAA03D4-FCC0-4F4B-BF25-71DACB810146}" name="b120"/>
    <tableColumn id="121" xr3:uid="{40C56EC0-DC9D-4025-875B-6ABBB748C94C}" name="b121"/>
    <tableColumn id="122" xr3:uid="{5CB4727A-AEF8-40BA-8FB9-64BEA38B3F15}" name="b122"/>
    <tableColumn id="123" xr3:uid="{3543492D-7D78-4A37-84D1-58E8F6EC65FE}" name="b123"/>
    <tableColumn id="124" xr3:uid="{456167E7-C75D-4C53-934B-2EFCA576D2A3}" name="b124"/>
    <tableColumn id="125" xr3:uid="{9E06711A-DFDE-4886-984F-A8A31BB39D5B}" name="b125"/>
    <tableColumn id="126" xr3:uid="{6ED1D034-6244-402C-83C6-FA68AE56F8AF}" name="b126"/>
    <tableColumn id="127" xr3:uid="{8A596E72-4B6F-4D9B-B38D-F10592E0CF20}" name="b127"/>
    <tableColumn id="128" xr3:uid="{A0B5F723-952F-4161-B8DC-1BA9A43B314F}" name="b12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D7BE35-B0D4-4EC3-95D1-86F390434F37}" name="Table7" displayName="Table7" ref="A3:A131" totalsRowShown="0">
  <autoFilter ref="A3:A131" xr:uid="{CA287316-DE04-436B-86D9-7BDA7374C406}"/>
  <tableColumns count="1">
    <tableColumn id="1" xr3:uid="{C40AFFA3-7649-454F-8416-6F211992FECB}" name="Input" dataDxfId="5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0A4A14-F81D-4CFE-BC4D-D9FE7192ADF0}" name="Table9" displayName="Table9" ref="C3:L131" totalsRowShown="0">
  <autoFilter ref="C3:L131" xr:uid="{F0801243-9FEB-4E47-8350-2311E338B05E}"/>
  <tableColumns count="10">
    <tableColumn id="1" xr3:uid="{81D8F318-444D-48B2-B406-1EE829D49177}" name="n_01"/>
    <tableColumn id="2" xr3:uid="{EF107277-7F10-48FC-90BB-6B4F603D536D}" name="n_02"/>
    <tableColumn id="3" xr3:uid="{05CE1B24-C8E3-4122-82C0-12391CEF6ACF}" name="n_03"/>
    <tableColumn id="4" xr3:uid="{A578AA6E-9137-4E1D-9255-45DFE5494F27}" name="n_04"/>
    <tableColumn id="5" xr3:uid="{B55BF6AB-0180-4F8C-856F-7BB113F781F0}" name="n_05"/>
    <tableColumn id="6" xr3:uid="{657E72DF-476B-4810-9B0F-1CC469D3882D}" name="n_06"/>
    <tableColumn id="7" xr3:uid="{83268F9B-375B-42A5-85D3-CE3A2D776480}" name="n_07"/>
    <tableColumn id="8" xr3:uid="{16778A02-96E7-472E-8FDB-A41B14D38A23}" name="n_08"/>
    <tableColumn id="9" xr3:uid="{0D349AB9-1DA9-4EA1-9A88-FEF60B3EA6EE}" name="n_09"/>
    <tableColumn id="10" xr3:uid="{151AA7F7-5694-4A2A-9AE3-0E6C6CD157A6}" name="n_10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D00674-5922-4C17-8D10-CEADFA17B034}" name="Table10" displayName="Table10" ref="C134:L135" totalsRowShown="0">
  <autoFilter ref="C134:L135" xr:uid="{D3B31BB2-773B-40DF-BDCE-69A6C2CFA9BD}"/>
  <tableColumns count="10">
    <tableColumn id="1" xr3:uid="{37A6C9AC-6696-4820-867A-65B0709CF20C}" name="b1"/>
    <tableColumn id="2" xr3:uid="{5CCDC269-E658-4A6A-9936-CC707333F6FF}" name="b2"/>
    <tableColumn id="3" xr3:uid="{27669CCA-E9AF-4127-B6AF-8B853FB6BBDE}" name="b3"/>
    <tableColumn id="4" xr3:uid="{CCD61487-FB99-4F3A-B10B-E6E2947D2CB6}" name="b4"/>
    <tableColumn id="5" xr3:uid="{6324B026-1EFD-4B49-9436-173B380C83F0}" name="b5"/>
    <tableColumn id="6" xr3:uid="{23F7B1BE-5D8B-4A2C-A173-F0A17FA09F51}" name="b6"/>
    <tableColumn id="7" xr3:uid="{DD9E436C-DF56-456D-9C9D-7C62AE4EF165}" name="b7"/>
    <tableColumn id="8" xr3:uid="{88B08CB1-9ABB-47AB-9C8E-2E9487609253}" name="b8"/>
    <tableColumn id="9" xr3:uid="{D26A5CAD-0EBB-4C93-905D-42F99337160E}" name="b9"/>
    <tableColumn id="10" xr3:uid="{B7315600-A3B2-4733-B988-E12CB82E6E10}" name="b1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46E558-8085-4DFF-BBDA-36A9421D57D1}" name="Table11" displayName="Table11" ref="C138:L139" totalsRowShown="0">
  <autoFilter ref="C138:L139" xr:uid="{994BE7A2-3BF4-4D13-9683-B5C2534F5257}"/>
  <tableColumns count="10">
    <tableColumn id="1" xr3:uid="{7A36E104-C20D-4A2D-B5C4-B463957A182A}" name="o1">
      <calculatedColumnFormula array="1">SUMPRODUCT(Table9[n_01],Table7[Input])+Table10[b1]</calculatedColumnFormula>
    </tableColumn>
    <tableColumn id="2" xr3:uid="{F3A459A2-6D32-4CBE-9E9E-180BB5FEF281}" name="o2">
      <calculatedColumnFormula array="1">SUMPRODUCT(Table9[n_02],Table7[Input])+Table10[b2]</calculatedColumnFormula>
    </tableColumn>
    <tableColumn id="3" xr3:uid="{69E2773C-7846-4F46-99F6-F1C938171691}" name="o3">
      <calculatedColumnFormula array="1">SUMPRODUCT(Table9[n_03],Table7[Input])+Table10[b3]</calculatedColumnFormula>
    </tableColumn>
    <tableColumn id="4" xr3:uid="{FC443D64-9703-4D0F-B1B5-68DE1B9750C6}" name="o4">
      <calculatedColumnFormula array="1">SUMPRODUCT(Table9[n_04],Table7[Input])+Table10[b4]</calculatedColumnFormula>
    </tableColumn>
    <tableColumn id="5" xr3:uid="{67710727-E0C1-4B6F-87A9-A422FBB88575}" name="o5">
      <calculatedColumnFormula array="1">SUMPRODUCT(Table9[n_05],Table7[Input])+Table10[b5]</calculatedColumnFormula>
    </tableColumn>
    <tableColumn id="6" xr3:uid="{AB79205B-436B-48D7-B566-EA8B1186F921}" name="o6">
      <calculatedColumnFormula array="1">SUMPRODUCT(Table9[n_06],Table7[Input])+Table10[b6]</calculatedColumnFormula>
    </tableColumn>
    <tableColumn id="7" xr3:uid="{EA419337-2CFE-4EAF-B18A-C068CE27CA37}" name="o7">
      <calculatedColumnFormula array="1">SUMPRODUCT(Table9[n_07],Table7[Input])+Table10[b7]</calculatedColumnFormula>
    </tableColumn>
    <tableColumn id="8" xr3:uid="{CB66ACF3-F29F-4A96-A9DE-74AD8AC07916}" name="o8">
      <calculatedColumnFormula array="1">SUMPRODUCT(Table9[n_08],Table7[Input])+Table10[b8]</calculatedColumnFormula>
    </tableColumn>
    <tableColumn id="9" xr3:uid="{AD54DF60-1080-46B0-B60F-2E4A6D9838A2}" name="o9">
      <calculatedColumnFormula array="1">SUMPRODUCT(Table9[n_09],Table7[Input])+Table10[b9]</calculatedColumnFormula>
    </tableColumn>
    <tableColumn id="10" xr3:uid="{966E27CA-35FA-4ED0-9ADE-1E893F8A0260}" name="o10">
      <calculatedColumnFormula array="1">SUMPRODUCT(Table9[n_10],Table7[Input])+Table10[b10]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6E422D-AAEE-4A10-9CE9-02CB8D1BE9DB}" name="Table6" displayName="Table6" ref="A1:B145" totalsRowShown="0" headerRowDxfId="3" dataDxfId="2">
  <autoFilter ref="A1:B145" xr:uid="{7C5BD956-CAAB-450A-BE1E-F722C4E1B4D5}"/>
  <tableColumns count="2">
    <tableColumn id="1" xr3:uid="{C85718F7-929F-4A6F-B004-3C4AE9F660AD}" name="Label" dataDxfId="1"/>
    <tableColumn id="2" xr3:uid="{A65ABF05-C577-448B-BB2B-E2D90A82D02B}" name="Inpu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C02CB-F378-482A-BF0A-D86C65F603FB}">
  <sheetPr codeName="Sheet3">
    <tabColor rgb="FF00B050"/>
  </sheetPr>
  <dimension ref="B1:U14"/>
  <sheetViews>
    <sheetView tabSelected="1" zoomScale="127" zoomScaleNormal="100" workbookViewId="0">
      <selection activeCell="I12" sqref="I12"/>
    </sheetView>
  </sheetViews>
  <sheetFormatPr defaultRowHeight="14.4" x14ac:dyDescent="0.3"/>
  <cols>
    <col min="1" max="1" width="1.33203125" style="3" customWidth="1"/>
    <col min="2" max="13" width="3.88671875" style="4" customWidth="1"/>
    <col min="14" max="14" width="2.33203125" style="4" customWidth="1"/>
    <col min="15" max="15" width="14" style="4" customWidth="1"/>
    <col min="16" max="16" width="2.33203125" style="3" customWidth="1"/>
    <col min="17" max="17" width="8.5546875" style="3" customWidth="1"/>
    <col min="18" max="18" width="8.5546875" style="31" customWidth="1"/>
    <col min="19" max="20" width="8.88671875" style="3"/>
    <col min="21" max="21" width="26.44140625" style="3" bestFit="1" customWidth="1"/>
    <col min="22" max="16384" width="8.88671875" style="3"/>
  </cols>
  <sheetData>
    <row r="1" spans="2:21" ht="6" customHeight="1" thickBot="1" x14ac:dyDescent="0.35"/>
    <row r="2" spans="2:21" ht="21.6" customHeight="1" thickBot="1" x14ac:dyDescent="0.35">
      <c r="B2" s="10">
        <v>0</v>
      </c>
      <c r="C2" s="11">
        <v>0</v>
      </c>
      <c r="D2" s="11">
        <v>0</v>
      </c>
      <c r="E2" s="11">
        <v>0</v>
      </c>
      <c r="F2" s="11">
        <v>0</v>
      </c>
      <c r="G2" s="12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3">
        <v>0</v>
      </c>
      <c r="N2" s="3"/>
      <c r="O2" s="26" t="s">
        <v>304</v>
      </c>
      <c r="Q2" s="37" t="s">
        <v>106</v>
      </c>
      <c r="R2" s="38"/>
    </row>
    <row r="3" spans="2:21" ht="21.6" customHeight="1" x14ac:dyDescent="0.3">
      <c r="B3" s="14">
        <v>0</v>
      </c>
      <c r="C3" s="6">
        <v>0</v>
      </c>
      <c r="D3" s="6">
        <v>0</v>
      </c>
      <c r="E3" s="6">
        <v>0</v>
      </c>
      <c r="F3" s="6">
        <v>0</v>
      </c>
      <c r="G3" s="7">
        <v>1</v>
      </c>
      <c r="H3" s="6">
        <v>1</v>
      </c>
      <c r="I3" s="6">
        <v>1</v>
      </c>
      <c r="J3" s="6">
        <v>0</v>
      </c>
      <c r="K3" s="6">
        <v>0</v>
      </c>
      <c r="L3" s="6">
        <v>0</v>
      </c>
      <c r="M3" s="15">
        <v>0</v>
      </c>
      <c r="N3" s="3"/>
      <c r="O3" s="34">
        <f>INDEX($Q$3:$Q$12,MATCH(MAX(R3:R12),R3:R12,0))</f>
        <v>1</v>
      </c>
      <c r="Q3" s="23">
        <v>0</v>
      </c>
      <c r="R3" s="33">
        <f>Softmax!C$142</f>
        <v>1.1883262243683389E-7</v>
      </c>
      <c r="U3" s="22"/>
    </row>
    <row r="4" spans="2:21" ht="21.6" customHeight="1" x14ac:dyDescent="0.3">
      <c r="B4" s="14">
        <v>0</v>
      </c>
      <c r="C4" s="6">
        <v>0</v>
      </c>
      <c r="D4" s="6">
        <v>0</v>
      </c>
      <c r="E4" s="6">
        <v>0</v>
      </c>
      <c r="F4" s="6">
        <v>1</v>
      </c>
      <c r="G4" s="7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15">
        <v>0</v>
      </c>
      <c r="N4" s="3"/>
      <c r="O4" s="35"/>
      <c r="Q4" s="24">
        <v>1</v>
      </c>
      <c r="R4" s="33">
        <f>Softmax!D$142</f>
        <v>0.88460145538753443</v>
      </c>
      <c r="U4" s="32"/>
    </row>
    <row r="5" spans="2:21" ht="21.6" customHeight="1" x14ac:dyDescent="0.3">
      <c r="B5" s="14">
        <v>0</v>
      </c>
      <c r="C5" s="6">
        <v>0</v>
      </c>
      <c r="D5" s="6">
        <v>1</v>
      </c>
      <c r="E5" s="6">
        <v>1</v>
      </c>
      <c r="F5" s="6">
        <v>0</v>
      </c>
      <c r="G5" s="7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15">
        <v>0</v>
      </c>
      <c r="N5" s="22"/>
      <c r="O5" s="35"/>
      <c r="Q5" s="24">
        <v>2</v>
      </c>
      <c r="R5" s="33">
        <f>Softmax!E$142</f>
        <v>4.8051228754358015E-2</v>
      </c>
    </row>
    <row r="6" spans="2:21" ht="21.6" customHeight="1" thickBot="1" x14ac:dyDescent="0.35">
      <c r="B6" s="14">
        <v>0</v>
      </c>
      <c r="C6" s="6">
        <v>0</v>
      </c>
      <c r="D6" s="6">
        <v>0</v>
      </c>
      <c r="E6" s="6">
        <v>0</v>
      </c>
      <c r="F6" s="6">
        <v>0</v>
      </c>
      <c r="G6" s="7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15">
        <v>0</v>
      </c>
      <c r="N6" s="3"/>
      <c r="O6" s="36"/>
      <c r="Q6" s="24">
        <v>3</v>
      </c>
      <c r="R6" s="33">
        <f>Softmax!F$142</f>
        <v>6.4354226463260625E-2</v>
      </c>
      <c r="T6" s="22"/>
    </row>
    <row r="7" spans="2:21" ht="21.6" customHeight="1" x14ac:dyDescent="0.3">
      <c r="B7" s="16">
        <v>0</v>
      </c>
      <c r="C7" s="8">
        <v>0</v>
      </c>
      <c r="D7" s="8">
        <v>0</v>
      </c>
      <c r="E7" s="8">
        <v>0</v>
      </c>
      <c r="F7" s="8">
        <v>0</v>
      </c>
      <c r="G7" s="9">
        <v>0</v>
      </c>
      <c r="H7" s="8">
        <v>1</v>
      </c>
      <c r="I7" s="8">
        <v>0</v>
      </c>
      <c r="J7" s="8">
        <v>0</v>
      </c>
      <c r="K7" s="8">
        <v>0</v>
      </c>
      <c r="L7" s="8">
        <v>0</v>
      </c>
      <c r="M7" s="17">
        <v>0</v>
      </c>
      <c r="N7" s="3"/>
      <c r="Q7" s="24">
        <v>4</v>
      </c>
      <c r="R7" s="33">
        <f>Softmax!G$142</f>
        <v>2.0490591645791382E-5</v>
      </c>
    </row>
    <row r="8" spans="2:21" ht="21.6" customHeight="1" x14ac:dyDescent="0.3">
      <c r="B8" s="14">
        <v>0</v>
      </c>
      <c r="C8" s="6">
        <v>0</v>
      </c>
      <c r="D8" s="6">
        <v>0</v>
      </c>
      <c r="E8" s="6">
        <v>0</v>
      </c>
      <c r="F8" s="6">
        <v>0</v>
      </c>
      <c r="G8" s="7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15">
        <v>0</v>
      </c>
      <c r="N8" s="3"/>
      <c r="Q8" s="24">
        <v>5</v>
      </c>
      <c r="R8" s="33">
        <f>Softmax!H$142</f>
        <v>3.0476915227154132E-5</v>
      </c>
    </row>
    <row r="9" spans="2:21" ht="21.6" customHeight="1" x14ac:dyDescent="0.3">
      <c r="B9" s="14">
        <v>0</v>
      </c>
      <c r="C9" s="6">
        <v>0</v>
      </c>
      <c r="D9" s="6">
        <v>0</v>
      </c>
      <c r="E9" s="6">
        <v>0</v>
      </c>
      <c r="F9" s="6">
        <v>0</v>
      </c>
      <c r="G9" s="7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15">
        <v>0</v>
      </c>
      <c r="N9" s="3"/>
      <c r="Q9" s="24">
        <v>6</v>
      </c>
      <c r="R9" s="33">
        <f>Softmax!I$142</f>
        <v>1.3915767334415506E-7</v>
      </c>
    </row>
    <row r="10" spans="2:21" ht="21.6" customHeight="1" x14ac:dyDescent="0.3">
      <c r="B10" s="14">
        <v>0</v>
      </c>
      <c r="C10" s="6">
        <v>0</v>
      </c>
      <c r="D10" s="6">
        <v>0</v>
      </c>
      <c r="E10" s="6">
        <v>0</v>
      </c>
      <c r="F10" s="6">
        <v>0</v>
      </c>
      <c r="G10" s="7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15">
        <v>0</v>
      </c>
      <c r="N10" s="3"/>
      <c r="Q10" s="24">
        <v>7</v>
      </c>
      <c r="R10" s="33">
        <f>Softmax!J$142</f>
        <v>2.5370909880472863E-4</v>
      </c>
    </row>
    <row r="11" spans="2:21" ht="21.6" customHeight="1" x14ac:dyDescent="0.3">
      <c r="B11" s="14">
        <v>0</v>
      </c>
      <c r="C11" s="6">
        <v>0</v>
      </c>
      <c r="D11" s="6">
        <v>0</v>
      </c>
      <c r="E11" s="6">
        <v>0</v>
      </c>
      <c r="F11" s="6">
        <v>0</v>
      </c>
      <c r="G11" s="7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15">
        <v>0</v>
      </c>
      <c r="N11" s="3"/>
      <c r="Q11" s="24">
        <v>8</v>
      </c>
      <c r="R11" s="33">
        <f>Softmax!K$142</f>
        <v>2.6862373748887032E-3</v>
      </c>
    </row>
    <row r="12" spans="2:21" ht="21.6" customHeight="1" thickBot="1" x14ac:dyDescent="0.35">
      <c r="B12" s="14">
        <v>0</v>
      </c>
      <c r="C12" s="6">
        <v>0</v>
      </c>
      <c r="D12" s="6">
        <v>0</v>
      </c>
      <c r="E12" s="6">
        <v>0</v>
      </c>
      <c r="F12" s="6">
        <v>0</v>
      </c>
      <c r="G12" s="7">
        <v>1</v>
      </c>
      <c r="H12" s="6">
        <v>1</v>
      </c>
      <c r="I12" s="6">
        <v>1</v>
      </c>
      <c r="J12" s="6">
        <v>0</v>
      </c>
      <c r="K12" s="6">
        <v>0</v>
      </c>
      <c r="L12" s="6">
        <v>0</v>
      </c>
      <c r="M12" s="15">
        <v>0</v>
      </c>
      <c r="N12" s="3"/>
      <c r="O12" s="27"/>
      <c r="Q12" s="25">
        <v>9</v>
      </c>
      <c r="R12" s="33">
        <f>Softmax!L$142</f>
        <v>1.9174239847416902E-6</v>
      </c>
    </row>
    <row r="13" spans="2:21" ht="21.6" customHeight="1" thickBot="1" x14ac:dyDescent="0.35">
      <c r="B13" s="18">
        <v>0</v>
      </c>
      <c r="C13" s="19">
        <v>0</v>
      </c>
      <c r="D13" s="19">
        <v>0</v>
      </c>
      <c r="E13" s="19">
        <v>0</v>
      </c>
      <c r="F13" s="19">
        <v>0</v>
      </c>
      <c r="G13" s="20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21">
        <v>0</v>
      </c>
      <c r="N13" s="3"/>
    </row>
    <row r="14" spans="2:21" x14ac:dyDescent="0.3">
      <c r="B14" s="3"/>
      <c r="C14" s="3"/>
      <c r="D14" s="3"/>
      <c r="E14" s="3"/>
      <c r="F14" s="3"/>
      <c r="G14" s="3"/>
      <c r="I14" s="3"/>
      <c r="J14" s="3"/>
      <c r="L14" s="3"/>
      <c r="M14" s="3"/>
      <c r="N14" s="3"/>
      <c r="O14" s="3"/>
    </row>
  </sheetData>
  <mergeCells count="2">
    <mergeCell ref="O3:O6"/>
    <mergeCell ref="Q2:R2"/>
  </mergeCells>
  <conditionalFormatting sqref="B2:M13">
    <cfRule type="cellIs" dxfId="8" priority="2" operator="lessThan">
      <formula>0</formula>
    </cfRule>
    <cfRule type="cellIs" dxfId="7" priority="3" operator="greaterThan">
      <formula>1</formula>
    </cfRule>
    <cfRule type="cellIs" dxfId="6" priority="5" operator="equal">
      <formula>1</formula>
    </cfRule>
  </conditionalFormatting>
  <conditionalFormatting sqref="R3:R12">
    <cfRule type="dataBar" priority="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{D1D22A18-7CE5-4F41-A760-36D8B2073ED9}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Draw">
          <controlPr defaultSize="0" autoLine="0" r:id="rId5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5</xdr:col>
                <xdr:colOff>7620</xdr:colOff>
                <xdr:row>14</xdr:row>
                <xdr:rowOff>91440</xdr:rowOff>
              </to>
            </anchor>
          </controlPr>
        </control>
      </mc:Choice>
      <mc:Fallback>
        <control shapeId="2057" r:id="rId4" name="Draw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ClearBoard">
            <anchor moveWithCells="1" sizeWithCells="1">
              <from>
                <xdr:col>1</xdr:col>
                <xdr:colOff>7620</xdr:colOff>
                <xdr:row>13</xdr:row>
                <xdr:rowOff>0</xdr:rowOff>
              </from>
              <to>
                <xdr:col>2</xdr:col>
                <xdr:colOff>259080</xdr:colOff>
                <xdr:row>14</xdr:row>
                <xdr:rowOff>91440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D22A18-7CE5-4F41-A760-36D8B2073E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40EB-2ACA-41E4-8455-B223E9C6572F}">
  <sheetPr codeName="Sheet2">
    <tabColor theme="7"/>
  </sheetPr>
  <dimension ref="A1:DZ155"/>
  <sheetViews>
    <sheetView topLeftCell="CR1" zoomScale="54" zoomScaleNormal="54" workbookViewId="0">
      <selection activeCell="F47" sqref="F47"/>
    </sheetView>
  </sheetViews>
  <sheetFormatPr defaultRowHeight="14.4" x14ac:dyDescent="0.3"/>
  <cols>
    <col min="3" max="3" width="9.33203125" customWidth="1"/>
  </cols>
  <sheetData>
    <row r="1" spans="1:130" ht="33.6" x14ac:dyDescent="0.65">
      <c r="A1" s="2" t="s">
        <v>104</v>
      </c>
    </row>
    <row r="2" spans="1:130" ht="23.4" x14ac:dyDescent="0.45">
      <c r="A2" s="1" t="s">
        <v>1</v>
      </c>
      <c r="C2" s="1" t="s">
        <v>0</v>
      </c>
    </row>
    <row r="3" spans="1:130" x14ac:dyDescent="0.3">
      <c r="A3" t="s">
        <v>105</v>
      </c>
      <c r="C3" t="s">
        <v>252</v>
      </c>
      <c r="D3" t="s">
        <v>253</v>
      </c>
      <c r="E3" t="s">
        <v>254</v>
      </c>
      <c r="F3" t="s">
        <v>255</v>
      </c>
      <c r="G3" t="s">
        <v>256</v>
      </c>
      <c r="H3" t="s">
        <v>257</v>
      </c>
      <c r="I3" t="s">
        <v>258</v>
      </c>
      <c r="J3" t="s">
        <v>259</v>
      </c>
      <c r="K3" t="s">
        <v>260</v>
      </c>
      <c r="L3" t="s">
        <v>261</v>
      </c>
      <c r="M3" t="s">
        <v>262</v>
      </c>
      <c r="N3" t="s">
        <v>263</v>
      </c>
      <c r="O3" t="s">
        <v>264</v>
      </c>
      <c r="P3" t="s">
        <v>265</v>
      </c>
      <c r="Q3" t="s">
        <v>266</v>
      </c>
      <c r="R3" t="s">
        <v>267</v>
      </c>
      <c r="S3" t="s">
        <v>268</v>
      </c>
      <c r="T3" t="s">
        <v>269</v>
      </c>
      <c r="U3" t="s">
        <v>270</v>
      </c>
      <c r="V3" t="s">
        <v>271</v>
      </c>
      <c r="W3" t="s">
        <v>272</v>
      </c>
      <c r="X3" t="s">
        <v>273</v>
      </c>
      <c r="Y3" t="s">
        <v>274</v>
      </c>
      <c r="Z3" t="s">
        <v>275</v>
      </c>
      <c r="AA3" t="s">
        <v>276</v>
      </c>
      <c r="AB3" t="s">
        <v>277</v>
      </c>
      <c r="AC3" t="s">
        <v>278</v>
      </c>
      <c r="AD3" t="s">
        <v>279</v>
      </c>
      <c r="AE3" t="s">
        <v>280</v>
      </c>
      <c r="AF3" t="s">
        <v>281</v>
      </c>
      <c r="AG3" t="s">
        <v>282</v>
      </c>
      <c r="AH3" t="s">
        <v>283</v>
      </c>
      <c r="AI3" t="s">
        <v>284</v>
      </c>
      <c r="AJ3" t="s">
        <v>285</v>
      </c>
      <c r="AK3" t="s">
        <v>286</v>
      </c>
      <c r="AL3" t="s">
        <v>287</v>
      </c>
      <c r="AM3" t="s">
        <v>288</v>
      </c>
      <c r="AN3" t="s">
        <v>289</v>
      </c>
      <c r="AO3" t="s">
        <v>290</v>
      </c>
      <c r="AP3" t="s">
        <v>291</v>
      </c>
      <c r="AQ3" t="s">
        <v>292</v>
      </c>
      <c r="AR3" t="s">
        <v>293</v>
      </c>
      <c r="AS3" t="s">
        <v>294</v>
      </c>
      <c r="AT3" t="s">
        <v>295</v>
      </c>
      <c r="AU3" t="s">
        <v>296</v>
      </c>
      <c r="AV3" t="s">
        <v>297</v>
      </c>
      <c r="AW3" t="s">
        <v>298</v>
      </c>
      <c r="AX3" t="s">
        <v>299</v>
      </c>
      <c r="AY3" t="s">
        <v>300</v>
      </c>
      <c r="AZ3" t="s">
        <v>301</v>
      </c>
      <c r="BA3" t="s">
        <v>305</v>
      </c>
      <c r="BB3" t="s">
        <v>306</v>
      </c>
      <c r="BC3" t="s">
        <v>307</v>
      </c>
      <c r="BD3" t="s">
        <v>308</v>
      </c>
      <c r="BE3" t="s">
        <v>309</v>
      </c>
      <c r="BF3" t="s">
        <v>310</v>
      </c>
      <c r="BG3" t="s">
        <v>311</v>
      </c>
      <c r="BH3" t="s">
        <v>312</v>
      </c>
      <c r="BI3" t="s">
        <v>313</v>
      </c>
      <c r="BJ3" t="s">
        <v>314</v>
      </c>
      <c r="BK3" t="s">
        <v>315</v>
      </c>
      <c r="BL3" t="s">
        <v>316</v>
      </c>
      <c r="BM3" t="s">
        <v>317</v>
      </c>
      <c r="BN3" t="s">
        <v>318</v>
      </c>
      <c r="BO3" t="s">
        <v>319</v>
      </c>
      <c r="BP3" t="s">
        <v>320</v>
      </c>
      <c r="BQ3" t="s">
        <v>321</v>
      </c>
      <c r="BR3" t="s">
        <v>322</v>
      </c>
      <c r="BS3" t="s">
        <v>323</v>
      </c>
      <c r="BT3" t="s">
        <v>324</v>
      </c>
      <c r="BU3" t="s">
        <v>325</v>
      </c>
      <c r="BV3" t="s">
        <v>326</v>
      </c>
      <c r="BW3" t="s">
        <v>327</v>
      </c>
      <c r="BX3" t="s">
        <v>328</v>
      </c>
      <c r="BY3" t="s">
        <v>329</v>
      </c>
      <c r="BZ3" t="s">
        <v>330</v>
      </c>
      <c r="CA3" t="s">
        <v>331</v>
      </c>
      <c r="CB3" t="s">
        <v>332</v>
      </c>
      <c r="CC3" t="s">
        <v>333</v>
      </c>
      <c r="CD3" t="s">
        <v>334</v>
      </c>
      <c r="CE3" t="s">
        <v>335</v>
      </c>
      <c r="CF3" t="s">
        <v>336</v>
      </c>
      <c r="CG3" t="s">
        <v>337</v>
      </c>
      <c r="CH3" t="s">
        <v>338</v>
      </c>
      <c r="CI3" t="s">
        <v>339</v>
      </c>
      <c r="CJ3" t="s">
        <v>340</v>
      </c>
      <c r="CK3" t="s">
        <v>341</v>
      </c>
      <c r="CL3" t="s">
        <v>342</v>
      </c>
      <c r="CM3" t="s">
        <v>343</v>
      </c>
      <c r="CN3" t="s">
        <v>344</v>
      </c>
      <c r="CO3" t="s">
        <v>345</v>
      </c>
      <c r="CP3" t="s">
        <v>346</v>
      </c>
      <c r="CQ3" t="s">
        <v>347</v>
      </c>
      <c r="CR3" t="s">
        <v>348</v>
      </c>
      <c r="CS3" t="s">
        <v>349</v>
      </c>
      <c r="CT3" t="s">
        <v>350</v>
      </c>
      <c r="CU3" t="s">
        <v>351</v>
      </c>
      <c r="CV3" t="s">
        <v>352</v>
      </c>
      <c r="CW3" t="s">
        <v>353</v>
      </c>
      <c r="CX3" t="s">
        <v>354</v>
      </c>
      <c r="CY3" t="s">
        <v>355</v>
      </c>
      <c r="CZ3" t="s">
        <v>356</v>
      </c>
      <c r="DA3" t="s">
        <v>357</v>
      </c>
      <c r="DB3" t="s">
        <v>358</v>
      </c>
      <c r="DC3" t="s">
        <v>359</v>
      </c>
      <c r="DD3" t="s">
        <v>360</v>
      </c>
      <c r="DE3" t="s">
        <v>361</v>
      </c>
      <c r="DF3" t="s">
        <v>362</v>
      </c>
      <c r="DG3" t="s">
        <v>363</v>
      </c>
      <c r="DH3" t="s">
        <v>364</v>
      </c>
      <c r="DI3" t="s">
        <v>365</v>
      </c>
      <c r="DJ3" t="s">
        <v>366</v>
      </c>
      <c r="DK3" t="s">
        <v>367</v>
      </c>
      <c r="DL3" t="s">
        <v>368</v>
      </c>
      <c r="DM3" t="s">
        <v>369</v>
      </c>
      <c r="DN3" t="s">
        <v>370</v>
      </c>
      <c r="DO3" t="s">
        <v>371</v>
      </c>
      <c r="DP3" t="s">
        <v>372</v>
      </c>
      <c r="DQ3" t="s">
        <v>373</v>
      </c>
      <c r="DR3" t="s">
        <v>374</v>
      </c>
      <c r="DS3" t="s">
        <v>375</v>
      </c>
      <c r="DT3" t="s">
        <v>376</v>
      </c>
      <c r="DU3" t="s">
        <v>377</v>
      </c>
      <c r="DV3" t="s">
        <v>378</v>
      </c>
      <c r="DW3" t="s">
        <v>379</v>
      </c>
      <c r="DX3" t="s">
        <v>380</v>
      </c>
      <c r="DY3" t="s">
        <v>381</v>
      </c>
      <c r="DZ3" t="s">
        <v>382</v>
      </c>
    </row>
    <row r="4" spans="1:130" x14ac:dyDescent="0.3">
      <c r="A4">
        <f>Board!$B$2</f>
        <v>0</v>
      </c>
      <c r="C4">
        <v>9.3898356000000002E-2</v>
      </c>
      <c r="D4">
        <v>-4.2484662999999999E-2</v>
      </c>
      <c r="E4">
        <v>-8.4939829999999994E-2</v>
      </c>
      <c r="F4">
        <v>0.10971760999999999</v>
      </c>
      <c r="G4">
        <v>-6.2946230000000006E-2</v>
      </c>
      <c r="H4">
        <v>4.4713320000000001E-2</v>
      </c>
      <c r="I4">
        <v>4.0333867000000002E-2</v>
      </c>
      <c r="J4">
        <v>-0.10639788</v>
      </c>
      <c r="K4">
        <v>6.4591540000000003E-2</v>
      </c>
      <c r="L4">
        <v>-0.14638834000000001</v>
      </c>
      <c r="M4">
        <v>-3.5997010000000003E-2</v>
      </c>
      <c r="N4">
        <v>9.958024E-2</v>
      </c>
      <c r="O4">
        <v>-7.4306609999999995E-2</v>
      </c>
      <c r="P4">
        <v>-5.3111940000000003E-2</v>
      </c>
      <c r="Q4">
        <v>9.1512830000000003E-2</v>
      </c>
      <c r="R4">
        <v>2.7556865999999999E-2</v>
      </c>
      <c r="S4">
        <v>9.7644030000000007E-2</v>
      </c>
      <c r="T4">
        <v>4.3541238000000003E-2</v>
      </c>
      <c r="U4">
        <v>-2.1885425E-2</v>
      </c>
      <c r="V4">
        <v>-3.3034964999999999E-2</v>
      </c>
      <c r="W4">
        <v>-0.114480704</v>
      </c>
      <c r="X4">
        <v>6.6034510000000005E-2</v>
      </c>
      <c r="Y4">
        <v>9.3039440000000001E-2</v>
      </c>
      <c r="Z4">
        <v>2.2136763E-2</v>
      </c>
      <c r="AA4">
        <v>-6.3815350000000007E-2</v>
      </c>
      <c r="AB4">
        <v>-4.4228286000000004E-3</v>
      </c>
      <c r="AC4">
        <v>9.6655550000000007E-2</v>
      </c>
      <c r="AD4">
        <v>-5.0572230000000003E-2</v>
      </c>
      <c r="AE4">
        <v>-2.9932551000000002E-2</v>
      </c>
      <c r="AF4">
        <v>7.3763474999999995E-2</v>
      </c>
      <c r="AG4">
        <v>-7.3707640000000005E-2</v>
      </c>
      <c r="AH4">
        <v>-2.4899542E-3</v>
      </c>
      <c r="AI4">
        <v>0.113659054</v>
      </c>
      <c r="AJ4">
        <v>-0.1398209</v>
      </c>
      <c r="AK4">
        <v>-5.0895349999999999E-2</v>
      </c>
      <c r="AL4">
        <v>-4.404839E-2</v>
      </c>
      <c r="AM4">
        <v>-5.3099050000000002E-2</v>
      </c>
      <c r="AN4">
        <v>-4.5620149999999998E-2</v>
      </c>
      <c r="AO4">
        <v>2.8241813000000001E-2</v>
      </c>
      <c r="AP4">
        <v>4.5882760000000002E-2</v>
      </c>
      <c r="AQ4">
        <v>3.9833277E-2</v>
      </c>
      <c r="AR4">
        <v>-6.6121979999999997E-2</v>
      </c>
      <c r="AS4">
        <v>-6.1061379999999997E-3</v>
      </c>
      <c r="AT4">
        <v>-8.6137906E-2</v>
      </c>
      <c r="AU4">
        <v>-5.7843193000000001E-2</v>
      </c>
      <c r="AV4">
        <v>0.12464875</v>
      </c>
      <c r="AW4">
        <v>-6.5216854000000005E-2</v>
      </c>
      <c r="AX4">
        <v>-7.7326619999999999E-2</v>
      </c>
      <c r="AY4">
        <v>-0.14458302000000001</v>
      </c>
      <c r="AZ4">
        <v>-3.9425417999999997E-2</v>
      </c>
      <c r="BA4">
        <v>8.2281779999999999E-2</v>
      </c>
      <c r="BB4">
        <v>2.2749930000000002E-2</v>
      </c>
      <c r="BC4">
        <v>-9.9320433999999999E-2</v>
      </c>
      <c r="BD4">
        <v>-0.12612266999999999</v>
      </c>
      <c r="BE4">
        <v>0.12093228</v>
      </c>
      <c r="BF4">
        <v>2.3799702999999998E-2</v>
      </c>
      <c r="BG4">
        <v>0.13895660000000001</v>
      </c>
      <c r="BH4">
        <v>0.14689273</v>
      </c>
      <c r="BI4">
        <v>-0.14043015</v>
      </c>
      <c r="BJ4">
        <v>1.8555313E-2</v>
      </c>
      <c r="BK4">
        <v>-5.9673740000000003E-2</v>
      </c>
      <c r="BL4">
        <v>-8.5983630000000005E-2</v>
      </c>
      <c r="BM4">
        <v>-2.2613391E-2</v>
      </c>
      <c r="BN4">
        <v>6.0229643999999999E-2</v>
      </c>
      <c r="BO4">
        <v>4.7894134999999997E-2</v>
      </c>
      <c r="BP4">
        <v>1.1270120999999999E-2</v>
      </c>
      <c r="BQ4">
        <v>0.13153656999999999</v>
      </c>
      <c r="BR4">
        <v>-2.3788839999999999E-2</v>
      </c>
      <c r="BS4">
        <v>-5.3534030000000003E-2</v>
      </c>
      <c r="BT4">
        <v>-0.124130934</v>
      </c>
      <c r="BU4">
        <v>0.124237865</v>
      </c>
      <c r="BV4">
        <v>3.5608455999999997E-2</v>
      </c>
      <c r="BW4">
        <v>3.4688413E-3</v>
      </c>
      <c r="BX4">
        <v>0.10504636000000001</v>
      </c>
      <c r="BY4">
        <v>3.2318220000000002E-2</v>
      </c>
      <c r="BZ4">
        <v>-0.13268004</v>
      </c>
      <c r="CA4">
        <v>-6.8875745000000002E-2</v>
      </c>
      <c r="CB4">
        <v>-8.5503140000000005E-2</v>
      </c>
      <c r="CC4">
        <v>-9.9302340000000003E-2</v>
      </c>
      <c r="CD4">
        <v>9.4066440000000001E-2</v>
      </c>
      <c r="CE4">
        <v>0.14067271000000001</v>
      </c>
      <c r="CF4">
        <v>-9.9122450000000001E-2</v>
      </c>
      <c r="CG4">
        <v>0.11054158</v>
      </c>
      <c r="CH4">
        <v>9.5508250000000003E-2</v>
      </c>
      <c r="CI4">
        <v>-6.5793193999999999E-2</v>
      </c>
      <c r="CJ4">
        <v>-0.14110054</v>
      </c>
      <c r="CK4">
        <v>-7.0137519999999995E-2</v>
      </c>
      <c r="CL4">
        <v>-7.0075200000000004E-2</v>
      </c>
      <c r="CM4">
        <v>4.0948659999999998E-2</v>
      </c>
      <c r="CN4">
        <v>-2.6997164000000001E-2</v>
      </c>
      <c r="CO4">
        <v>2.9460027999999999E-2</v>
      </c>
      <c r="CP4">
        <v>-2.8300269999999999E-2</v>
      </c>
      <c r="CQ4">
        <v>-3.1450025999999999E-2</v>
      </c>
      <c r="CR4">
        <v>-1.2841985E-2</v>
      </c>
      <c r="CS4">
        <v>-1.7379835E-2</v>
      </c>
      <c r="CT4">
        <v>-0.12367247000000001</v>
      </c>
      <c r="CU4">
        <v>-0.13476146999999999</v>
      </c>
      <c r="CV4">
        <v>4.1645170000000004E-3</v>
      </c>
      <c r="CW4">
        <v>8.7816179999999994E-2</v>
      </c>
      <c r="CX4">
        <v>3.1292199999999999E-2</v>
      </c>
      <c r="CY4">
        <v>-6.9744439999999998E-3</v>
      </c>
      <c r="CZ4">
        <v>7.6261789999999996E-2</v>
      </c>
      <c r="DA4">
        <v>1.1934906E-2</v>
      </c>
      <c r="DB4">
        <v>0.10724583</v>
      </c>
      <c r="DC4">
        <v>-8.5698254000000001E-2</v>
      </c>
      <c r="DD4">
        <v>-0.12565482</v>
      </c>
      <c r="DE4">
        <v>7.8115539999999997E-2</v>
      </c>
      <c r="DF4">
        <v>0.108668685</v>
      </c>
      <c r="DG4">
        <v>0.12594095</v>
      </c>
      <c r="DH4">
        <v>-2.0948290000000001E-2</v>
      </c>
      <c r="DI4">
        <v>2.9565126000000001E-2</v>
      </c>
      <c r="DJ4">
        <v>-5.4208560000000003E-2</v>
      </c>
      <c r="DK4">
        <v>-0.102658</v>
      </c>
      <c r="DL4">
        <v>3.7023738E-2</v>
      </c>
      <c r="DM4">
        <v>-3.0238919E-2</v>
      </c>
      <c r="DN4">
        <v>-9.1170504999999999E-2</v>
      </c>
      <c r="DO4">
        <v>8.0950945999999996E-2</v>
      </c>
      <c r="DP4">
        <v>9.4291299999999995E-2</v>
      </c>
      <c r="DQ4">
        <v>0.11615646</v>
      </c>
      <c r="DR4">
        <v>-3.4695997999999999E-2</v>
      </c>
      <c r="DS4">
        <v>5.7148366999999999E-2</v>
      </c>
      <c r="DT4">
        <v>-8.5451509999999994E-2</v>
      </c>
      <c r="DU4">
        <v>5.8158069999999999E-2</v>
      </c>
      <c r="DV4">
        <v>-5.2335597999999997E-2</v>
      </c>
      <c r="DW4">
        <v>-1.0371223000000001E-2</v>
      </c>
      <c r="DX4">
        <v>-3.2278596999999999E-2</v>
      </c>
      <c r="DY4">
        <v>-9.0020660000000002E-2</v>
      </c>
      <c r="DZ4">
        <v>0.10485703</v>
      </c>
    </row>
    <row r="5" spans="1:130" x14ac:dyDescent="0.3">
      <c r="A5">
        <f>Board!$C$2</f>
        <v>0</v>
      </c>
      <c r="C5">
        <v>-7.4901394999999996E-2</v>
      </c>
      <c r="D5">
        <v>3.5813119999999997E-2</v>
      </c>
      <c r="E5">
        <v>-4.6099816000000002E-2</v>
      </c>
      <c r="F5">
        <v>8.6229700000000006E-2</v>
      </c>
      <c r="G5">
        <v>0.12759145999999999</v>
      </c>
      <c r="H5">
        <v>-5.9338312999999997E-2</v>
      </c>
      <c r="I5">
        <v>2.1328762000000001E-2</v>
      </c>
      <c r="J5">
        <v>7.8794390000000006E-2</v>
      </c>
      <c r="K5">
        <v>-6.710613E-2</v>
      </c>
      <c r="L5">
        <v>-7.7062850000000002E-2</v>
      </c>
      <c r="M5">
        <v>3.5105070000000002E-2</v>
      </c>
      <c r="N5">
        <v>0.11079596999999999</v>
      </c>
      <c r="O5">
        <v>0.1241608</v>
      </c>
      <c r="P5">
        <v>-3.7384639999999997E-2</v>
      </c>
      <c r="Q5">
        <v>-0.14398974</v>
      </c>
      <c r="R5">
        <v>0.16405094000000001</v>
      </c>
      <c r="S5">
        <v>0.108774565</v>
      </c>
      <c r="T5">
        <v>7.6749033999999994E-2</v>
      </c>
      <c r="U5">
        <v>4.7713270000000002E-2</v>
      </c>
      <c r="V5">
        <v>-0.10039764</v>
      </c>
      <c r="W5">
        <v>-0.15008695</v>
      </c>
      <c r="X5">
        <v>-7.3237529999999995E-2</v>
      </c>
      <c r="Y5">
        <v>-0.12715346999999999</v>
      </c>
      <c r="Z5">
        <v>-0.15423195000000001</v>
      </c>
      <c r="AA5">
        <v>-0.14702734000000001</v>
      </c>
      <c r="AB5">
        <v>1.1564567E-2</v>
      </c>
      <c r="AC5">
        <v>5.8402392999999997E-2</v>
      </c>
      <c r="AD5">
        <v>-0.13706863</v>
      </c>
      <c r="AE5">
        <v>3.7262820000000002E-2</v>
      </c>
      <c r="AF5">
        <v>2.4302790000000001E-2</v>
      </c>
      <c r="AG5">
        <v>-0.13398491000000001</v>
      </c>
      <c r="AH5">
        <v>-0.12823113999999999</v>
      </c>
      <c r="AI5">
        <v>3.1871963000000003E-2</v>
      </c>
      <c r="AJ5">
        <v>7.3658009999999996E-2</v>
      </c>
      <c r="AK5">
        <v>-6.8191550000000004E-2</v>
      </c>
      <c r="AL5">
        <v>-6.5150100000000002E-2</v>
      </c>
      <c r="AM5">
        <v>-3.8811463999999997E-2</v>
      </c>
      <c r="AN5">
        <v>0.11847151</v>
      </c>
      <c r="AO5">
        <v>-0.1405293</v>
      </c>
      <c r="AP5">
        <v>0.17165965999999999</v>
      </c>
      <c r="AQ5">
        <v>-6.7138955E-2</v>
      </c>
      <c r="AR5">
        <v>3.9503620000000003E-2</v>
      </c>
      <c r="AS5">
        <v>-1.05284E-2</v>
      </c>
      <c r="AT5">
        <v>-6.9893499999999997E-2</v>
      </c>
      <c r="AU5">
        <v>0.13069375999999999</v>
      </c>
      <c r="AV5">
        <v>-0.13327836000000001</v>
      </c>
      <c r="AW5">
        <v>0.115667015</v>
      </c>
      <c r="AX5">
        <v>6.9056809999999996E-2</v>
      </c>
      <c r="AY5">
        <v>9.2455369999999995E-2</v>
      </c>
      <c r="AZ5">
        <v>5.7171408E-2</v>
      </c>
      <c r="BA5">
        <v>-0.12710054000000001</v>
      </c>
      <c r="BB5">
        <v>-4.3979898000000003E-2</v>
      </c>
      <c r="BC5">
        <v>1.0051968E-2</v>
      </c>
      <c r="BD5">
        <v>-9.2789869999999997E-2</v>
      </c>
      <c r="BE5">
        <v>6.1554233999999999E-2</v>
      </c>
      <c r="BF5">
        <v>2.4519503000000002E-2</v>
      </c>
      <c r="BG5">
        <v>-1.0606511000000001E-2</v>
      </c>
      <c r="BH5">
        <v>-9.6211560000000002E-2</v>
      </c>
      <c r="BI5">
        <v>9.1540515000000003E-2</v>
      </c>
      <c r="BJ5">
        <v>-6.0298922999999997E-2</v>
      </c>
      <c r="BK5">
        <v>-2.3158547000000002E-2</v>
      </c>
      <c r="BL5">
        <v>9.0727050000000004E-2</v>
      </c>
      <c r="BM5">
        <v>-4.3122109999999998E-2</v>
      </c>
      <c r="BN5">
        <v>0.11042526</v>
      </c>
      <c r="BO5">
        <v>-2.9331893000000001E-2</v>
      </c>
      <c r="BP5">
        <v>-4.5858387E-2</v>
      </c>
      <c r="BQ5">
        <v>-5.4104947E-2</v>
      </c>
      <c r="BR5">
        <v>0.11199774999999999</v>
      </c>
      <c r="BS5">
        <v>5.4524950000000003E-2</v>
      </c>
      <c r="BT5">
        <v>-0.117684655</v>
      </c>
      <c r="BU5">
        <v>-7.1141889999999999E-2</v>
      </c>
      <c r="BV5">
        <v>-1.5087143500000001E-2</v>
      </c>
      <c r="BW5">
        <v>0.14106688000000001</v>
      </c>
      <c r="BX5">
        <v>-0.107764125</v>
      </c>
      <c r="BY5">
        <v>3.8205259999999998E-2</v>
      </c>
      <c r="BZ5">
        <v>0.10820436</v>
      </c>
      <c r="CA5">
        <v>1.887146E-2</v>
      </c>
      <c r="CB5">
        <v>-0.13932227999999999</v>
      </c>
      <c r="CC5">
        <v>-0.110626</v>
      </c>
      <c r="CD5">
        <v>6.6157460000000001E-2</v>
      </c>
      <c r="CE5">
        <v>-0.11540573</v>
      </c>
      <c r="CF5">
        <v>8.6850440000000001E-2</v>
      </c>
      <c r="CG5">
        <v>8.4542826000000001E-2</v>
      </c>
      <c r="CH5">
        <v>-7.0102899999999996E-2</v>
      </c>
      <c r="CI5">
        <v>6.3277713999999999E-2</v>
      </c>
      <c r="CJ5">
        <v>3.1616419999999999E-2</v>
      </c>
      <c r="CK5">
        <v>-5.6195876999999998E-2</v>
      </c>
      <c r="CL5">
        <v>8.7572869999999997E-2</v>
      </c>
      <c r="CM5">
        <v>-5.0052904000000002E-2</v>
      </c>
      <c r="CN5">
        <v>-8.4481150000000008E-3</v>
      </c>
      <c r="CO5">
        <v>4.2217586000000001E-2</v>
      </c>
      <c r="CP5">
        <v>-1.5321355E-3</v>
      </c>
      <c r="CQ5">
        <v>-0.11238558999999999</v>
      </c>
      <c r="CR5">
        <v>-0.11706598999999999</v>
      </c>
      <c r="CS5">
        <v>-9.0581424999999993E-2</v>
      </c>
      <c r="CT5">
        <v>-3.6274493000000001E-3</v>
      </c>
      <c r="CU5">
        <v>-0.14890938000000001</v>
      </c>
      <c r="CV5">
        <v>9.3709029999999999E-2</v>
      </c>
      <c r="CW5">
        <v>-0.119930595</v>
      </c>
      <c r="CX5">
        <v>-0.14877182</v>
      </c>
      <c r="CY5">
        <v>4.7979593000000001E-2</v>
      </c>
      <c r="CZ5">
        <v>9.0159669999999997E-2</v>
      </c>
      <c r="DA5">
        <v>0.10185332599999999</v>
      </c>
      <c r="DB5">
        <v>-0.11217089</v>
      </c>
      <c r="DC5">
        <v>4.3629978E-2</v>
      </c>
      <c r="DD5">
        <v>6.4981430000000007E-2</v>
      </c>
      <c r="DE5">
        <v>-0.10521248</v>
      </c>
      <c r="DF5">
        <v>7.4883140000000001E-2</v>
      </c>
      <c r="DG5">
        <v>2.5956145999999999E-2</v>
      </c>
      <c r="DH5">
        <v>0.112008475</v>
      </c>
      <c r="DI5">
        <v>0.15109333</v>
      </c>
      <c r="DJ5">
        <v>0.15605358999999999</v>
      </c>
      <c r="DK5">
        <v>-7.3887040000000001E-2</v>
      </c>
      <c r="DL5">
        <v>-0.121221855</v>
      </c>
      <c r="DM5">
        <v>6.7452460000000006E-2</v>
      </c>
      <c r="DN5">
        <v>-4.6216607E-2</v>
      </c>
      <c r="DO5">
        <v>2.47777E-2</v>
      </c>
      <c r="DP5">
        <v>-4.7075260000000001E-2</v>
      </c>
      <c r="DQ5">
        <v>-8.4340399999999996E-2</v>
      </c>
      <c r="DR5">
        <v>-0.17513620999999999</v>
      </c>
      <c r="DS5">
        <v>6.4150289999999999E-2</v>
      </c>
      <c r="DT5">
        <v>3.1457547000000002E-2</v>
      </c>
      <c r="DU5">
        <v>8.2953769999999996E-2</v>
      </c>
      <c r="DV5">
        <v>4.0327519999999999E-2</v>
      </c>
      <c r="DW5">
        <v>0.17131073999999999</v>
      </c>
      <c r="DX5">
        <v>5.8079619999999998E-3</v>
      </c>
      <c r="DY5">
        <v>2.6588183000000001E-2</v>
      </c>
      <c r="DZ5">
        <v>-0.12937480000000001</v>
      </c>
    </row>
    <row r="6" spans="1:130" x14ac:dyDescent="0.3">
      <c r="A6">
        <f>Board!$D$2</f>
        <v>0</v>
      </c>
      <c r="C6">
        <v>-0.10446501499999999</v>
      </c>
      <c r="D6">
        <v>-9.5748650000000005E-2</v>
      </c>
      <c r="E6">
        <v>0.23256408000000001</v>
      </c>
      <c r="F6">
        <v>-0.13839580000000001</v>
      </c>
      <c r="G6">
        <v>-8.5375010000000001E-2</v>
      </c>
      <c r="H6">
        <v>8.7571689999999994E-2</v>
      </c>
      <c r="I6">
        <v>-0.14980994</v>
      </c>
      <c r="J6">
        <v>-7.2036034999999998E-2</v>
      </c>
      <c r="K6">
        <v>0.18192317</v>
      </c>
      <c r="L6">
        <v>-0.10352008</v>
      </c>
      <c r="M6">
        <v>-0.11788099</v>
      </c>
      <c r="N6">
        <v>3.407959E-2</v>
      </c>
      <c r="O6">
        <v>5.3827162999999997E-2</v>
      </c>
      <c r="P6">
        <v>7.5221159999999995E-2</v>
      </c>
      <c r="Q6">
        <v>-6.9803379999999998E-2</v>
      </c>
      <c r="R6">
        <v>3.4265975999999997E-2</v>
      </c>
      <c r="S6">
        <v>-0.15085633000000001</v>
      </c>
      <c r="T6">
        <v>-4.5992244000000002E-2</v>
      </c>
      <c r="U6">
        <v>8.2678094999999993E-2</v>
      </c>
      <c r="V6">
        <v>0.11067832</v>
      </c>
      <c r="W6">
        <v>-7.7471460000000006E-2</v>
      </c>
      <c r="X6">
        <v>-1.1031628999999999E-2</v>
      </c>
      <c r="Y6">
        <v>2.4076434000000001E-2</v>
      </c>
      <c r="Z6">
        <v>-0.14615713</v>
      </c>
      <c r="AA6">
        <v>4.7905506000000004E-3</v>
      </c>
      <c r="AB6">
        <v>5.6856747999999999E-2</v>
      </c>
      <c r="AC6">
        <v>0.24052055</v>
      </c>
      <c r="AD6">
        <v>1.7609315E-2</v>
      </c>
      <c r="AE6">
        <v>-6.37403E-2</v>
      </c>
      <c r="AF6">
        <v>-7.6772209999999994E-2</v>
      </c>
      <c r="AG6">
        <v>-5.4063140000000003E-2</v>
      </c>
      <c r="AH6">
        <v>0.23880388</v>
      </c>
      <c r="AI6">
        <v>-0.12812686000000001</v>
      </c>
      <c r="AJ6">
        <v>-3.2541069999999998E-2</v>
      </c>
      <c r="AK6">
        <v>0.10565964</v>
      </c>
      <c r="AL6">
        <v>0.28013401999999998</v>
      </c>
      <c r="AM6">
        <v>-2.5917117E-2</v>
      </c>
      <c r="AN6">
        <v>-0.22296156</v>
      </c>
      <c r="AO6">
        <v>3.150381E-2</v>
      </c>
      <c r="AP6">
        <v>-1.4740781999999999E-2</v>
      </c>
      <c r="AQ6">
        <v>-0.11825184</v>
      </c>
      <c r="AR6">
        <v>4.4885584999999999E-3</v>
      </c>
      <c r="AS6">
        <v>1.4802500999999999E-2</v>
      </c>
      <c r="AT6">
        <v>6.6624909999999996E-2</v>
      </c>
      <c r="AU6">
        <v>0.1053287</v>
      </c>
      <c r="AV6">
        <v>5.4897003E-2</v>
      </c>
      <c r="AW6">
        <v>6.3076906000000002E-2</v>
      </c>
      <c r="AX6">
        <v>-2.179234E-2</v>
      </c>
      <c r="AY6">
        <v>7.8397683999999995E-2</v>
      </c>
      <c r="AZ6">
        <v>-5.7960014999999997E-2</v>
      </c>
      <c r="BA6">
        <v>-6.2352438000000003E-2</v>
      </c>
      <c r="BB6">
        <v>-2.7430340000000001E-2</v>
      </c>
      <c r="BC6">
        <v>0.13433566999999999</v>
      </c>
      <c r="BD6">
        <v>0.16068187</v>
      </c>
      <c r="BE6">
        <v>-8.9672779999999994E-2</v>
      </c>
      <c r="BF6">
        <v>-0.11923212</v>
      </c>
      <c r="BG6">
        <v>5.3582169999999998E-2</v>
      </c>
      <c r="BH6">
        <v>7.3470149999999998E-2</v>
      </c>
      <c r="BI6">
        <v>-4.7390293E-2</v>
      </c>
      <c r="BJ6">
        <v>-3.8037705999999998E-2</v>
      </c>
      <c r="BK6">
        <v>-6.9598674999999999E-2</v>
      </c>
      <c r="BL6">
        <v>-1.03468625E-2</v>
      </c>
      <c r="BM6">
        <v>5.4475575999999998E-2</v>
      </c>
      <c r="BN6">
        <v>-1.4332739000000001E-2</v>
      </c>
      <c r="BO6">
        <v>5.43031E-2</v>
      </c>
      <c r="BP6">
        <v>-8.3072450000000006E-2</v>
      </c>
      <c r="BQ6">
        <v>0.17648353</v>
      </c>
      <c r="BR6">
        <v>-3.1208288000000001E-2</v>
      </c>
      <c r="BS6">
        <v>0.2093614</v>
      </c>
      <c r="BT6">
        <v>0.10293991</v>
      </c>
      <c r="BU6">
        <v>5.1030409999999998E-2</v>
      </c>
      <c r="BV6">
        <v>2.3030124999999999E-2</v>
      </c>
      <c r="BW6">
        <v>0.13350001</v>
      </c>
      <c r="BX6">
        <v>9.3168829999999994E-2</v>
      </c>
      <c r="BY6">
        <v>-0.13226004999999999</v>
      </c>
      <c r="BZ6">
        <v>-3.3795345999999997E-2</v>
      </c>
      <c r="CA6">
        <v>1.4021899999999999E-4</v>
      </c>
      <c r="CB6">
        <v>0.12868305999999999</v>
      </c>
      <c r="CC6">
        <v>-5.9140949999999998E-2</v>
      </c>
      <c r="CD6">
        <v>0.12163971</v>
      </c>
      <c r="CE6">
        <v>-7.6743095999999997E-2</v>
      </c>
      <c r="CF6">
        <v>0.26630330000000002</v>
      </c>
      <c r="CG6">
        <v>-0.17985438000000001</v>
      </c>
      <c r="CH6">
        <v>-3.6863904000000003E-2</v>
      </c>
      <c r="CI6">
        <v>0.16517092</v>
      </c>
      <c r="CJ6">
        <v>9.9383150000000003E-2</v>
      </c>
      <c r="CK6">
        <v>-4.6958514E-2</v>
      </c>
      <c r="CL6">
        <v>-0.23818733</v>
      </c>
      <c r="CM6">
        <v>-5.6653726000000003E-4</v>
      </c>
      <c r="CN6">
        <v>7.6877689999999999E-2</v>
      </c>
      <c r="CO6">
        <v>6.3224025000000003E-2</v>
      </c>
      <c r="CP6">
        <v>0.22699896999999999</v>
      </c>
      <c r="CQ6">
        <v>-2.1612236E-2</v>
      </c>
      <c r="CR6">
        <v>5.7815650000000003E-2</v>
      </c>
      <c r="CS6">
        <v>1.9367223999999999E-2</v>
      </c>
      <c r="CT6">
        <v>-2.2604297999999998E-2</v>
      </c>
      <c r="CU6">
        <v>9.5399419999999999E-2</v>
      </c>
      <c r="CV6">
        <v>9.6586329999999998E-2</v>
      </c>
      <c r="CW6">
        <v>3.0893884999999999E-2</v>
      </c>
      <c r="CX6">
        <v>0.12586022999999999</v>
      </c>
      <c r="CY6">
        <v>-0.13734542</v>
      </c>
      <c r="CZ6">
        <v>4.0498935000000003E-3</v>
      </c>
      <c r="DA6">
        <v>0.14033114999999999</v>
      </c>
      <c r="DB6">
        <v>6.253265E-3</v>
      </c>
      <c r="DC6">
        <v>1.9893192000000001E-2</v>
      </c>
      <c r="DD6">
        <v>-4.0479349999999997E-2</v>
      </c>
      <c r="DE6">
        <v>-6.7895559999999994E-2</v>
      </c>
      <c r="DF6">
        <v>-2.2349628E-2</v>
      </c>
      <c r="DG6">
        <v>-6.5354839999999997E-2</v>
      </c>
      <c r="DH6">
        <v>4.9121591999999999E-2</v>
      </c>
      <c r="DI6">
        <v>1.9375592000000001E-2</v>
      </c>
      <c r="DJ6">
        <v>0.13855247000000001</v>
      </c>
      <c r="DK6">
        <v>-0.15147389999999999</v>
      </c>
      <c r="DL6">
        <v>4.6510327999999997E-2</v>
      </c>
      <c r="DM6">
        <v>9.3505409999999997E-2</v>
      </c>
      <c r="DN6">
        <v>-5.4367480000000003E-2</v>
      </c>
      <c r="DO6">
        <v>8.9498349999999997E-3</v>
      </c>
      <c r="DP6">
        <v>-1.0473636E-2</v>
      </c>
      <c r="DQ6">
        <v>-3.6545130000000002E-2</v>
      </c>
      <c r="DR6">
        <v>7.5877390000000003E-2</v>
      </c>
      <c r="DS6">
        <v>-7.4651904000000005E-2</v>
      </c>
      <c r="DT6">
        <v>9.0325900000000001E-2</v>
      </c>
      <c r="DU6">
        <v>0.18178675999999999</v>
      </c>
      <c r="DV6">
        <v>-2.9453836000000001E-2</v>
      </c>
      <c r="DW6">
        <v>0.12571711999999999</v>
      </c>
      <c r="DX6">
        <v>4.7301019999999999E-3</v>
      </c>
      <c r="DY6">
        <v>0.29086783999999999</v>
      </c>
      <c r="DZ6">
        <v>-3.0029449999999999E-2</v>
      </c>
    </row>
    <row r="7" spans="1:130" x14ac:dyDescent="0.3">
      <c r="A7">
        <f>Board!$E$2</f>
        <v>0</v>
      </c>
      <c r="C7">
        <v>-2.6767025E-2</v>
      </c>
      <c r="D7">
        <v>9.7323834999999997E-2</v>
      </c>
      <c r="E7">
        <v>0.37391686000000002</v>
      </c>
      <c r="F7">
        <v>-0.22437958</v>
      </c>
      <c r="G7">
        <v>-2.1581811999999999E-2</v>
      </c>
      <c r="H7">
        <v>1.276559E-3</v>
      </c>
      <c r="I7">
        <v>-0.2322755</v>
      </c>
      <c r="J7">
        <v>-8.5195649999999998E-2</v>
      </c>
      <c r="K7">
        <v>0.34578927999999998</v>
      </c>
      <c r="L7">
        <v>-3.4871034000000002E-2</v>
      </c>
      <c r="M7">
        <v>5.5523306000000001E-2</v>
      </c>
      <c r="N7">
        <v>0.26177529999999999</v>
      </c>
      <c r="O7">
        <v>-8.8488310000000001E-2</v>
      </c>
      <c r="P7">
        <v>-0.23504564</v>
      </c>
      <c r="Q7">
        <v>0.12409322</v>
      </c>
      <c r="R7">
        <v>0.17380996000000001</v>
      </c>
      <c r="S7">
        <v>-0.18590508</v>
      </c>
      <c r="T7">
        <v>2.973077E-2</v>
      </c>
      <c r="U7">
        <v>0.17321323999999999</v>
      </c>
      <c r="V7">
        <v>0.20662217999999999</v>
      </c>
      <c r="W7">
        <v>0.11390345</v>
      </c>
      <c r="X7">
        <v>-0.13002232999999999</v>
      </c>
      <c r="Y7">
        <v>-0.17819193999999999</v>
      </c>
      <c r="Z7">
        <v>-3.2155387000000001E-2</v>
      </c>
      <c r="AA7">
        <v>-0.114250556</v>
      </c>
      <c r="AB7">
        <v>3.0877314999999999E-2</v>
      </c>
      <c r="AC7">
        <v>0.46611676000000002</v>
      </c>
      <c r="AD7">
        <v>0.13527226000000001</v>
      </c>
      <c r="AE7">
        <v>4.3131099999999999E-2</v>
      </c>
      <c r="AF7">
        <v>-4.0879595999999997E-2</v>
      </c>
      <c r="AG7">
        <v>-0.19976456000000001</v>
      </c>
      <c r="AH7">
        <v>0.32672230000000002</v>
      </c>
      <c r="AI7">
        <v>-0.11267618</v>
      </c>
      <c r="AJ7">
        <v>-0.15962228000000001</v>
      </c>
      <c r="AK7">
        <v>8.3916850000000001E-2</v>
      </c>
      <c r="AL7">
        <v>0.21247746000000001</v>
      </c>
      <c r="AM7">
        <v>1.4528312999999999E-2</v>
      </c>
      <c r="AN7">
        <v>-0.36009314999999997</v>
      </c>
      <c r="AO7">
        <v>-0.36347204</v>
      </c>
      <c r="AP7">
        <v>8.5221549999999993E-2</v>
      </c>
      <c r="AQ7">
        <v>-0.19240798000000001</v>
      </c>
      <c r="AR7">
        <v>-6.6064890000000001E-2</v>
      </c>
      <c r="AS7">
        <v>-2.9586777000000002E-2</v>
      </c>
      <c r="AT7">
        <v>0.24425765999999999</v>
      </c>
      <c r="AU7">
        <v>0.25202160000000001</v>
      </c>
      <c r="AV7">
        <v>-0.17982809</v>
      </c>
      <c r="AW7">
        <v>-0.11513408</v>
      </c>
      <c r="AX7">
        <v>-7.5660350000000001E-2</v>
      </c>
      <c r="AY7">
        <v>-0.19220277999999999</v>
      </c>
      <c r="AZ7">
        <v>-2.4644994999999999E-2</v>
      </c>
      <c r="BA7">
        <v>-0.13920435</v>
      </c>
      <c r="BB7">
        <v>-3.2251141999999997E-2</v>
      </c>
      <c r="BC7">
        <v>0.17923252000000001</v>
      </c>
      <c r="BD7">
        <v>0.20931794000000001</v>
      </c>
      <c r="BE7">
        <v>-0.17047451</v>
      </c>
      <c r="BF7">
        <v>-6.2074579999999997E-2</v>
      </c>
      <c r="BG7">
        <v>-0.28859903999999997</v>
      </c>
      <c r="BH7">
        <v>0.49360390999999998</v>
      </c>
      <c r="BI7">
        <v>0.16873139000000001</v>
      </c>
      <c r="BJ7">
        <v>-7.8823910000000007E-3</v>
      </c>
      <c r="BK7">
        <v>-0.14326539999999999</v>
      </c>
      <c r="BL7">
        <v>2.7783644999999999E-2</v>
      </c>
      <c r="BM7">
        <v>-7.0470675999999996E-2</v>
      </c>
      <c r="BN7">
        <v>5.6574277999999999E-2</v>
      </c>
      <c r="BO7">
        <v>0.32963413000000003</v>
      </c>
      <c r="BP7">
        <v>-0.23034479999999999</v>
      </c>
      <c r="BQ7">
        <v>0.1527414</v>
      </c>
      <c r="BR7">
        <v>-2.0358678000000002E-2</v>
      </c>
      <c r="BS7">
        <v>-1.2620899E-3</v>
      </c>
      <c r="BT7">
        <v>0.24516746</v>
      </c>
      <c r="BU7">
        <v>2.9406903000000002E-2</v>
      </c>
      <c r="BV7">
        <v>-0.31349555000000001</v>
      </c>
      <c r="BW7">
        <v>0.20757607</v>
      </c>
      <c r="BX7">
        <v>-6.4823919999999993E-2</v>
      </c>
      <c r="BY7">
        <v>-0.33757195000000001</v>
      </c>
      <c r="BZ7">
        <v>0.24763134000000001</v>
      </c>
      <c r="CA7">
        <v>-0.16650566</v>
      </c>
      <c r="CB7">
        <v>6.3455609999999996E-2</v>
      </c>
      <c r="CC7">
        <v>-1.5585753000000001E-2</v>
      </c>
      <c r="CD7">
        <v>0.23328555000000001</v>
      </c>
      <c r="CE7">
        <v>-0.105778225</v>
      </c>
      <c r="CF7">
        <v>0.5083029</v>
      </c>
      <c r="CG7">
        <v>-0.39821469999999998</v>
      </c>
      <c r="CH7">
        <v>0.16702877999999999</v>
      </c>
      <c r="CI7">
        <v>0.27405515000000003</v>
      </c>
      <c r="CJ7">
        <v>0.14819668</v>
      </c>
      <c r="CK7">
        <v>-0.42601135000000001</v>
      </c>
      <c r="CL7">
        <v>-0.32984760000000002</v>
      </c>
      <c r="CM7">
        <v>0.10901422</v>
      </c>
      <c r="CN7">
        <v>-9.3930799999999995E-2</v>
      </c>
      <c r="CO7">
        <v>-0.21486454999999999</v>
      </c>
      <c r="CP7">
        <v>0.16376951000000001</v>
      </c>
      <c r="CQ7">
        <v>-0.14579550999999999</v>
      </c>
      <c r="CR7">
        <v>9.0553270000000002E-3</v>
      </c>
      <c r="CS7">
        <v>-5.5540609999999997E-2</v>
      </c>
      <c r="CT7">
        <v>-0.10633884</v>
      </c>
      <c r="CU7">
        <v>-0.21809602</v>
      </c>
      <c r="CV7">
        <v>0.12781561999999999</v>
      </c>
      <c r="CW7">
        <v>0.10456341</v>
      </c>
      <c r="CX7">
        <v>-8.031808E-2</v>
      </c>
      <c r="CY7">
        <v>-0.44617151999999999</v>
      </c>
      <c r="CZ7">
        <v>0.10317474</v>
      </c>
      <c r="DA7">
        <v>-6.9407779999999999E-3</v>
      </c>
      <c r="DB7">
        <v>-4.1345662999999998E-2</v>
      </c>
      <c r="DC7">
        <v>0.34328537999999997</v>
      </c>
      <c r="DD7">
        <v>9.3702460000000001E-2</v>
      </c>
      <c r="DE7">
        <v>8.4921919999999998E-2</v>
      </c>
      <c r="DF7">
        <v>-3.8585383000000001E-2</v>
      </c>
      <c r="DG7">
        <v>3.4515610000000002E-2</v>
      </c>
      <c r="DH7">
        <v>0.1784589</v>
      </c>
      <c r="DI7">
        <v>0.31732139999999998</v>
      </c>
      <c r="DJ7">
        <v>0.11432968</v>
      </c>
      <c r="DK7">
        <v>-5.2878915999999998E-2</v>
      </c>
      <c r="DL7">
        <v>0.15045694000000001</v>
      </c>
      <c r="DM7">
        <v>6.7695710000000003E-3</v>
      </c>
      <c r="DN7">
        <v>0.17063363000000001</v>
      </c>
      <c r="DO7">
        <v>-6.1415671999999998E-2</v>
      </c>
      <c r="DP7">
        <v>-2.6574266999999999E-2</v>
      </c>
      <c r="DQ7">
        <v>-0.11974358</v>
      </c>
      <c r="DR7">
        <v>-0.20671527000000001</v>
      </c>
      <c r="DS7">
        <v>-6.6987580000000005E-2</v>
      </c>
      <c r="DT7">
        <v>0.32631883</v>
      </c>
      <c r="DU7">
        <v>0.28635080000000002</v>
      </c>
      <c r="DV7">
        <v>8.5856870000000002E-2</v>
      </c>
      <c r="DW7">
        <v>0.13998685999999999</v>
      </c>
      <c r="DX7">
        <v>6.7433699999999999E-2</v>
      </c>
      <c r="DY7">
        <v>0.31284958000000002</v>
      </c>
      <c r="DZ7">
        <v>7.4353810000000006E-2</v>
      </c>
    </row>
    <row r="8" spans="1:130" x14ac:dyDescent="0.3">
      <c r="A8">
        <f>Board!$F$2</f>
        <v>0</v>
      </c>
      <c r="C8">
        <v>0.16885838</v>
      </c>
      <c r="D8">
        <v>-0.39513522000000001</v>
      </c>
      <c r="E8">
        <v>0.28232940000000001</v>
      </c>
      <c r="F8">
        <v>-3.0055912000000001E-2</v>
      </c>
      <c r="G8">
        <v>4.6048020000000002E-2</v>
      </c>
      <c r="H8">
        <v>1.0541436E-4</v>
      </c>
      <c r="I8">
        <v>-0.51835907000000003</v>
      </c>
      <c r="J8">
        <v>-0.23456930000000001</v>
      </c>
      <c r="K8">
        <v>0.32293218000000001</v>
      </c>
      <c r="L8">
        <v>-0.24358796999999999</v>
      </c>
      <c r="M8">
        <v>1.6743777000000001E-2</v>
      </c>
      <c r="N8">
        <v>6.3325599999999996E-2</v>
      </c>
      <c r="O8">
        <v>-7.3630539999999994E-2</v>
      </c>
      <c r="P8">
        <v>-0.34372281999999998</v>
      </c>
      <c r="Q8">
        <v>0.19607179</v>
      </c>
      <c r="R8">
        <v>0.39668924</v>
      </c>
      <c r="S8">
        <v>-0.31139820000000001</v>
      </c>
      <c r="T8">
        <v>0.16007277</v>
      </c>
      <c r="U8">
        <v>0.26525476999999997</v>
      </c>
      <c r="V8">
        <v>7.9026334000000004E-2</v>
      </c>
      <c r="W8">
        <v>5.2670590000000003E-2</v>
      </c>
      <c r="X8">
        <v>-0.26542070000000001</v>
      </c>
      <c r="Y8">
        <v>-0.35799133999999999</v>
      </c>
      <c r="Z8">
        <v>6.7607544000000006E-2</v>
      </c>
      <c r="AA8">
        <v>-8.845927E-3</v>
      </c>
      <c r="AB8">
        <v>0.15328233999999999</v>
      </c>
      <c r="AC8">
        <v>0.71171669999999998</v>
      </c>
      <c r="AD8">
        <v>7.6656810000000006E-2</v>
      </c>
      <c r="AE8">
        <v>-0.11894315499999999</v>
      </c>
      <c r="AF8">
        <v>0.11852632</v>
      </c>
      <c r="AG8">
        <v>-0.51732177000000001</v>
      </c>
      <c r="AH8">
        <v>0.71324164000000001</v>
      </c>
      <c r="AI8">
        <v>-8.4307740000000006E-2</v>
      </c>
      <c r="AJ8">
        <v>-0.23412953</v>
      </c>
      <c r="AK8">
        <v>0.18167480999999999</v>
      </c>
      <c r="AL8">
        <v>0.40048873000000001</v>
      </c>
      <c r="AM8">
        <v>-0.45246409999999998</v>
      </c>
      <c r="AN8">
        <v>-0.28771861999999998</v>
      </c>
      <c r="AO8">
        <v>-0.41029110000000002</v>
      </c>
      <c r="AP8">
        <v>4.0214569999999998E-2</v>
      </c>
      <c r="AQ8">
        <v>7.0030709999999996E-2</v>
      </c>
      <c r="AR8">
        <v>-0.16491628</v>
      </c>
      <c r="AS8">
        <v>0.18489166000000001</v>
      </c>
      <c r="AT8">
        <v>7.5661026000000006E-2</v>
      </c>
      <c r="AU8">
        <v>0.17831818999999999</v>
      </c>
      <c r="AV8">
        <v>-2.6677356999999999E-2</v>
      </c>
      <c r="AW8">
        <v>-0.227496</v>
      </c>
      <c r="AX8">
        <v>-0.15108024</v>
      </c>
      <c r="AY8">
        <v>-0.16488367000000001</v>
      </c>
      <c r="AZ8">
        <v>-2.9883817999999999E-3</v>
      </c>
      <c r="BA8">
        <v>-3.9660500000000001E-2</v>
      </c>
      <c r="BB8">
        <v>-0.13168468</v>
      </c>
      <c r="BC8">
        <v>0.36181511999999999</v>
      </c>
      <c r="BD8">
        <v>0.30693720000000002</v>
      </c>
      <c r="BE8">
        <v>-7.5767725999999994E-2</v>
      </c>
      <c r="BF8">
        <v>-0.18766418000000001</v>
      </c>
      <c r="BG8">
        <v>-0.35032907000000002</v>
      </c>
      <c r="BH8">
        <v>0.7206053</v>
      </c>
      <c r="BI8">
        <v>0.17580556999999999</v>
      </c>
      <c r="BJ8">
        <v>-0.14453784</v>
      </c>
      <c r="BK8">
        <v>-0.35786709999999999</v>
      </c>
      <c r="BL8">
        <v>7.6436190000000001E-2</v>
      </c>
      <c r="BM8">
        <v>-0.22470507000000001</v>
      </c>
      <c r="BN8">
        <v>-5.6385360000000002E-2</v>
      </c>
      <c r="BO8">
        <v>0.67085139999999999</v>
      </c>
      <c r="BP8">
        <v>-0.13779706999999999</v>
      </c>
      <c r="BQ8">
        <v>0.48571589999999998</v>
      </c>
      <c r="BR8">
        <v>-0.17609353</v>
      </c>
      <c r="BS8">
        <v>0.30258676000000001</v>
      </c>
      <c r="BT8">
        <v>0.44083739999999999</v>
      </c>
      <c r="BU8">
        <v>-4.4441649999999999E-2</v>
      </c>
      <c r="BV8">
        <v>-0.41117963000000002</v>
      </c>
      <c r="BW8">
        <v>0.21983279999999999</v>
      </c>
      <c r="BX8">
        <v>-0.23052248</v>
      </c>
      <c r="BY8">
        <v>-0.34674236000000003</v>
      </c>
      <c r="BZ8">
        <v>8.5408910000000005E-2</v>
      </c>
      <c r="CA8">
        <v>-0.31524756999999998</v>
      </c>
      <c r="CB8">
        <v>0.29820856000000001</v>
      </c>
      <c r="CC8">
        <v>0.30016345</v>
      </c>
      <c r="CD8">
        <v>0.23383132000000001</v>
      </c>
      <c r="CE8">
        <v>0.22781568999999999</v>
      </c>
      <c r="CF8">
        <v>0.47524654999999999</v>
      </c>
      <c r="CG8">
        <v>-0.26650876000000001</v>
      </c>
      <c r="CH8">
        <v>0.24641695999999999</v>
      </c>
      <c r="CI8">
        <v>0.51711260000000003</v>
      </c>
      <c r="CJ8">
        <v>5.2884445000000002E-2</v>
      </c>
      <c r="CK8">
        <v>-0.52009119999999998</v>
      </c>
      <c r="CL8">
        <v>-0.40468894999999999</v>
      </c>
      <c r="CM8">
        <v>0.21296364000000001</v>
      </c>
      <c r="CN8">
        <v>-7.4658959999999996E-2</v>
      </c>
      <c r="CO8">
        <v>-0.13378529</v>
      </c>
      <c r="CP8">
        <v>0.30770389999999997</v>
      </c>
      <c r="CQ8">
        <v>-0.17485473000000001</v>
      </c>
      <c r="CR8">
        <v>-7.3203742999999998E-3</v>
      </c>
      <c r="CS8">
        <v>-1.2558299E-2</v>
      </c>
      <c r="CT8">
        <v>-0.16339556999999999</v>
      </c>
      <c r="CU8">
        <v>-0.14893366</v>
      </c>
      <c r="CV8">
        <v>-0.114421755</v>
      </c>
      <c r="CW8">
        <v>2.1611557999999999E-2</v>
      </c>
      <c r="CX8">
        <v>-0.23082514000000001</v>
      </c>
      <c r="CY8">
        <v>-0.60289925</v>
      </c>
      <c r="CZ8">
        <v>-8.2788819999999999E-2</v>
      </c>
      <c r="DA8">
        <v>-7.0262290000000005E-2</v>
      </c>
      <c r="DB8">
        <v>-6.4274499999999998E-2</v>
      </c>
      <c r="DC8">
        <v>0.33155512999999998</v>
      </c>
      <c r="DD8">
        <v>0.21642328999999999</v>
      </c>
      <c r="DE8">
        <v>7.1511426999999999E-3</v>
      </c>
      <c r="DF8">
        <v>0.11785076999999999</v>
      </c>
      <c r="DG8">
        <v>-0.10702212</v>
      </c>
      <c r="DH8">
        <v>0.14092426999999999</v>
      </c>
      <c r="DI8">
        <v>6.7971480000000001E-2</v>
      </c>
      <c r="DJ8">
        <v>0.22488484</v>
      </c>
      <c r="DK8">
        <v>-0.17308572</v>
      </c>
      <c r="DL8">
        <v>-4.4105775999999999E-2</v>
      </c>
      <c r="DM8">
        <v>6.6008670000000005E-2</v>
      </c>
      <c r="DN8">
        <v>4.7993044999999998E-2</v>
      </c>
      <c r="DO8">
        <v>-8.1014130000000004E-2</v>
      </c>
      <c r="DP8">
        <v>-2.7845489000000001E-2</v>
      </c>
      <c r="DQ8">
        <v>-0.15359519999999999</v>
      </c>
      <c r="DR8">
        <v>-0.25328502000000003</v>
      </c>
      <c r="DS8">
        <v>7.4069689999999994E-2</v>
      </c>
      <c r="DT8">
        <v>0.40965607999999998</v>
      </c>
      <c r="DU8">
        <v>0.25673040000000003</v>
      </c>
      <c r="DV8">
        <v>-0.17453033000000001</v>
      </c>
      <c r="DW8">
        <v>8.9065110000000003E-2</v>
      </c>
      <c r="DX8">
        <v>6.7259529999999998E-2</v>
      </c>
      <c r="DY8">
        <v>0.26784849999999999</v>
      </c>
      <c r="DZ8">
        <v>3.6873309999999999E-2</v>
      </c>
    </row>
    <row r="9" spans="1:130" x14ac:dyDescent="0.3">
      <c r="A9">
        <f>Board!$G$2</f>
        <v>0</v>
      </c>
      <c r="C9">
        <v>4.5850670000000003E-2</v>
      </c>
      <c r="D9">
        <v>-0.49492818</v>
      </c>
      <c r="E9">
        <v>0.38626569999999999</v>
      </c>
      <c r="F9">
        <v>4.4436078000000001E-4</v>
      </c>
      <c r="G9">
        <v>-0.16930416000000001</v>
      </c>
      <c r="H9">
        <v>0.16466828</v>
      </c>
      <c r="I9">
        <v>-0.44635176999999998</v>
      </c>
      <c r="J9">
        <v>-0.16125900000000001</v>
      </c>
      <c r="K9">
        <v>0.48111868000000002</v>
      </c>
      <c r="L9">
        <v>-4.3114707000000002E-2</v>
      </c>
      <c r="M9">
        <v>5.3592805E-2</v>
      </c>
      <c r="N9">
        <v>-0.12907542</v>
      </c>
      <c r="O9">
        <v>-0.26851754999999999</v>
      </c>
      <c r="P9">
        <v>-0.43465157999999998</v>
      </c>
      <c r="Q9">
        <v>0.53997079999999997</v>
      </c>
      <c r="R9">
        <v>0.40951695999999999</v>
      </c>
      <c r="S9">
        <v>-0.39690365999999999</v>
      </c>
      <c r="T9">
        <v>0.20654700000000001</v>
      </c>
      <c r="U9">
        <v>0.20465243999999999</v>
      </c>
      <c r="V9">
        <v>0.18054658000000001</v>
      </c>
      <c r="W9">
        <v>7.3933356000000006E-2</v>
      </c>
      <c r="X9">
        <v>6.9282024999999997E-2</v>
      </c>
      <c r="Y9">
        <v>-0.35351756000000001</v>
      </c>
      <c r="Z9">
        <v>9.9073149999999999E-2</v>
      </c>
      <c r="AA9">
        <v>-0.13418426999999999</v>
      </c>
      <c r="AB9">
        <v>0.39502927999999998</v>
      </c>
      <c r="AC9">
        <v>0.71251374000000001</v>
      </c>
      <c r="AD9">
        <v>0.33037559999999999</v>
      </c>
      <c r="AE9">
        <v>-4.0479532999999998E-2</v>
      </c>
      <c r="AF9">
        <v>-0.10583851</v>
      </c>
      <c r="AG9">
        <v>-0.41560059999999999</v>
      </c>
      <c r="AH9">
        <v>0.59495920000000002</v>
      </c>
      <c r="AI9">
        <v>-8.2577004999999995E-2</v>
      </c>
      <c r="AJ9">
        <v>-0.32536376</v>
      </c>
      <c r="AK9">
        <v>0.34279585000000001</v>
      </c>
      <c r="AL9">
        <v>0.45373999999999998</v>
      </c>
      <c r="AM9">
        <v>-0.44386326999999998</v>
      </c>
      <c r="AN9">
        <v>-0.61351100000000003</v>
      </c>
      <c r="AO9">
        <v>-0.48994475999999998</v>
      </c>
      <c r="AP9">
        <v>0.15253438</v>
      </c>
      <c r="AQ9">
        <v>-0.28490536999999999</v>
      </c>
      <c r="AR9">
        <v>-9.0278310000000001E-2</v>
      </c>
      <c r="AS9">
        <v>2.3803059000000001E-2</v>
      </c>
      <c r="AT9">
        <v>-0.11567934000000001</v>
      </c>
      <c r="AU9">
        <v>0.34736152999999997</v>
      </c>
      <c r="AV9">
        <v>-0.16242777999999999</v>
      </c>
      <c r="AW9">
        <v>-0.18998197999999999</v>
      </c>
      <c r="AX9">
        <v>-9.6334550000000005E-2</v>
      </c>
      <c r="AY9">
        <v>-3.4335564999999998E-2</v>
      </c>
      <c r="AZ9">
        <v>-2.7178515E-2</v>
      </c>
      <c r="BA9">
        <v>-7.8856330000000002E-2</v>
      </c>
      <c r="BB9">
        <v>-0.15518098999999999</v>
      </c>
      <c r="BC9">
        <v>0.32645380000000002</v>
      </c>
      <c r="BD9">
        <v>0.29161745</v>
      </c>
      <c r="BE9">
        <v>-4.9768697000000001E-2</v>
      </c>
      <c r="BF9">
        <v>-0.21325997999999999</v>
      </c>
      <c r="BG9">
        <v>-0.42085853000000001</v>
      </c>
      <c r="BH9">
        <v>0.68744740000000004</v>
      </c>
      <c r="BI9">
        <v>6.5122040000000006E-2</v>
      </c>
      <c r="BJ9">
        <v>-4.3018486000000002E-2</v>
      </c>
      <c r="BK9">
        <v>-0.52778190000000003</v>
      </c>
      <c r="BL9">
        <v>0.14709955</v>
      </c>
      <c r="BM9">
        <v>-0.28616999999999998</v>
      </c>
      <c r="BN9">
        <v>-0.26174777999999999</v>
      </c>
      <c r="BO9">
        <v>0.46208903000000001</v>
      </c>
      <c r="BP9">
        <v>-0.17699718</v>
      </c>
      <c r="BQ9">
        <v>0.48720762000000001</v>
      </c>
      <c r="BR9">
        <v>-0.35106852999999999</v>
      </c>
      <c r="BS9">
        <v>0.46030146</v>
      </c>
      <c r="BT9">
        <v>0.37678504000000002</v>
      </c>
      <c r="BU9">
        <v>0.10953955999999999</v>
      </c>
      <c r="BV9">
        <v>-0.20586840000000001</v>
      </c>
      <c r="BW9">
        <v>0.34061530000000001</v>
      </c>
      <c r="BX9">
        <v>-0.29782233000000002</v>
      </c>
      <c r="BY9">
        <v>-0.49488110000000002</v>
      </c>
      <c r="BZ9">
        <v>0.10395409999999999</v>
      </c>
      <c r="CA9">
        <v>-0.30807816999999998</v>
      </c>
      <c r="CB9">
        <v>0.20391503999999999</v>
      </c>
      <c r="CC9">
        <v>0.44038683000000001</v>
      </c>
      <c r="CD9">
        <v>0.27414601999999999</v>
      </c>
      <c r="CE9">
        <v>0.33790287000000002</v>
      </c>
      <c r="CF9">
        <v>0.49564724999999998</v>
      </c>
      <c r="CG9">
        <v>-0.23364012000000001</v>
      </c>
      <c r="CH9">
        <v>0.61031466999999995</v>
      </c>
      <c r="CI9">
        <v>0.39937339999999999</v>
      </c>
      <c r="CJ9">
        <v>-2.1946218E-2</v>
      </c>
      <c r="CK9">
        <v>-0.50804305000000005</v>
      </c>
      <c r="CL9">
        <v>-0.38410420000000001</v>
      </c>
      <c r="CM9">
        <v>0.13572408</v>
      </c>
      <c r="CN9">
        <v>-6.3857360000000002E-2</v>
      </c>
      <c r="CO9">
        <v>-0.2178157</v>
      </c>
      <c r="CP9">
        <v>0.20277116000000001</v>
      </c>
      <c r="CQ9">
        <v>-0.12882207000000001</v>
      </c>
      <c r="CR9">
        <v>0.11451493</v>
      </c>
      <c r="CS9">
        <v>8.894908E-3</v>
      </c>
      <c r="CT9">
        <v>0.19048318</v>
      </c>
      <c r="CU9">
        <v>-0.32614916999999999</v>
      </c>
      <c r="CV9">
        <v>-6.1519316999999997E-2</v>
      </c>
      <c r="CW9">
        <v>-0.11314254</v>
      </c>
      <c r="CX9">
        <v>-7.842594E-2</v>
      </c>
      <c r="CY9">
        <v>-0.66807424999999998</v>
      </c>
      <c r="CZ9">
        <v>-7.5904584999999997E-2</v>
      </c>
      <c r="DA9">
        <v>-0.16338082000000001</v>
      </c>
      <c r="DB9">
        <v>1.4487675E-2</v>
      </c>
      <c r="DC9">
        <v>0.17684881</v>
      </c>
      <c r="DD9">
        <v>3.4789972000000002E-2</v>
      </c>
      <c r="DE9">
        <v>1.6436884000000001E-3</v>
      </c>
      <c r="DF9">
        <v>0.13215394</v>
      </c>
      <c r="DG9">
        <v>4.8240270000000002E-2</v>
      </c>
      <c r="DH9">
        <v>0.36403352</v>
      </c>
      <c r="DI9">
        <v>7.3510350000000002E-2</v>
      </c>
      <c r="DJ9">
        <v>0.15961397999999999</v>
      </c>
      <c r="DK9">
        <v>-0.18871056</v>
      </c>
      <c r="DL9">
        <v>6.7639350000000001E-2</v>
      </c>
      <c r="DM9">
        <v>-0.102454595</v>
      </c>
      <c r="DN9">
        <v>0.10353088000000001</v>
      </c>
      <c r="DO9">
        <v>0.31024849999999998</v>
      </c>
      <c r="DP9">
        <v>0.26252216</v>
      </c>
      <c r="DQ9">
        <v>-0.17178439000000001</v>
      </c>
      <c r="DR9">
        <v>-0.15493688</v>
      </c>
      <c r="DS9">
        <v>0.11054928999999999</v>
      </c>
      <c r="DT9">
        <v>0.13662331</v>
      </c>
      <c r="DU9">
        <v>0.26684687000000001</v>
      </c>
      <c r="DV9">
        <v>-0.14252037000000001</v>
      </c>
      <c r="DW9">
        <v>0.12783897</v>
      </c>
      <c r="DX9">
        <v>0.1611571</v>
      </c>
      <c r="DY9">
        <v>0.2502779</v>
      </c>
      <c r="DZ9">
        <v>0.120560326</v>
      </c>
    </row>
    <row r="10" spans="1:130" x14ac:dyDescent="0.3">
      <c r="A10">
        <f>Board!$H$2</f>
        <v>0</v>
      </c>
      <c r="C10">
        <v>0.18720016</v>
      </c>
      <c r="D10">
        <v>-0.22983041000000001</v>
      </c>
      <c r="E10">
        <v>0.38639694000000002</v>
      </c>
      <c r="F10">
        <v>-3.3290435E-2</v>
      </c>
      <c r="G10">
        <v>-0.18270954</v>
      </c>
      <c r="H10">
        <v>6.5740789999999993E-2</v>
      </c>
      <c r="I10">
        <v>-0.45648164000000002</v>
      </c>
      <c r="J10">
        <v>-0.14215576999999999</v>
      </c>
      <c r="K10">
        <v>0.16958880000000001</v>
      </c>
      <c r="L10">
        <v>-0.36821753000000002</v>
      </c>
      <c r="M10">
        <v>-7.8426940000000001E-2</v>
      </c>
      <c r="N10">
        <v>-0.12212768</v>
      </c>
      <c r="O10">
        <v>-0.25070867000000002</v>
      </c>
      <c r="P10">
        <v>-0.39185449999999999</v>
      </c>
      <c r="Q10">
        <v>0.41447689999999998</v>
      </c>
      <c r="R10">
        <v>4.287171E-2</v>
      </c>
      <c r="S10">
        <v>-0.43156523000000002</v>
      </c>
      <c r="T10">
        <v>0.3305768</v>
      </c>
      <c r="U10">
        <v>0.30075118000000001</v>
      </c>
      <c r="V10">
        <v>0.19001800999999999</v>
      </c>
      <c r="W10">
        <v>-0.16294126</v>
      </c>
      <c r="X10">
        <v>-0.23898322999999999</v>
      </c>
      <c r="Y10">
        <v>2.286759E-2</v>
      </c>
      <c r="Z10">
        <v>2.9999281999999999E-2</v>
      </c>
      <c r="AA10">
        <v>-0.22615747</v>
      </c>
      <c r="AB10">
        <v>0.19765371000000001</v>
      </c>
      <c r="AC10">
        <v>0.23267165000000001</v>
      </c>
      <c r="AD10">
        <v>0.29284912000000002</v>
      </c>
      <c r="AE10">
        <v>-0.11930064</v>
      </c>
      <c r="AF10">
        <v>0.15410515999999999</v>
      </c>
      <c r="AG10">
        <v>-0.19486848000000001</v>
      </c>
      <c r="AH10">
        <v>0.68181950000000002</v>
      </c>
      <c r="AI10">
        <v>-7.8761003999999996E-2</v>
      </c>
      <c r="AJ10">
        <v>-0.20129549999999999</v>
      </c>
      <c r="AK10">
        <v>8.0029963999999995E-2</v>
      </c>
      <c r="AL10">
        <v>0.29219738000000001</v>
      </c>
      <c r="AM10">
        <v>-0.19477895000000001</v>
      </c>
      <c r="AN10">
        <v>-0.45398903000000002</v>
      </c>
      <c r="AO10">
        <v>-0.50666469999999997</v>
      </c>
      <c r="AP10">
        <v>-7.0840109999999998E-2</v>
      </c>
      <c r="AQ10">
        <v>-9.7929396000000002E-2</v>
      </c>
      <c r="AR10">
        <v>-0.27032134000000002</v>
      </c>
      <c r="AS10">
        <v>0.25502960000000002</v>
      </c>
      <c r="AT10">
        <v>-0.32618195</v>
      </c>
      <c r="AU10">
        <v>0.31178670000000003</v>
      </c>
      <c r="AV10">
        <v>-0.29851191999999999</v>
      </c>
      <c r="AW10">
        <v>-0.33376375000000003</v>
      </c>
      <c r="AX10">
        <v>0.1299121</v>
      </c>
      <c r="AY10">
        <v>6.8994360000000005E-2</v>
      </c>
      <c r="AZ10">
        <v>-0.2519845</v>
      </c>
      <c r="BA10">
        <v>7.4395240000000001E-2</v>
      </c>
      <c r="BB10">
        <v>-0.23934111999999999</v>
      </c>
      <c r="BC10">
        <v>7.2338045000000004E-2</v>
      </c>
      <c r="BD10">
        <v>-6.7739150000000001E-3</v>
      </c>
      <c r="BE10">
        <v>0.21105613000000001</v>
      </c>
      <c r="BF10">
        <v>-0.119933344</v>
      </c>
      <c r="BG10">
        <v>-0.40360965999999998</v>
      </c>
      <c r="BH10">
        <v>0.46946490000000002</v>
      </c>
      <c r="BI10">
        <v>-2.0166196999999999E-5</v>
      </c>
      <c r="BJ10">
        <v>-0.31375249999999999</v>
      </c>
      <c r="BK10">
        <v>-0.27197864999999999</v>
      </c>
      <c r="BL10">
        <v>5.2792750000000004E-4</v>
      </c>
      <c r="BM10">
        <v>-0.35711902000000001</v>
      </c>
      <c r="BN10">
        <v>-0.21674815</v>
      </c>
      <c r="BO10">
        <v>0.26524004000000001</v>
      </c>
      <c r="BP10">
        <v>-0.35342908000000001</v>
      </c>
      <c r="BQ10">
        <v>0.1696899</v>
      </c>
      <c r="BR10">
        <v>-0.22413367000000001</v>
      </c>
      <c r="BS10">
        <v>0.19147427</v>
      </c>
      <c r="BT10">
        <v>0.24786456000000001</v>
      </c>
      <c r="BU10">
        <v>9.6279770000000001E-2</v>
      </c>
      <c r="BV10">
        <v>-0.65780609999999995</v>
      </c>
      <c r="BW10">
        <v>0.41454299999999999</v>
      </c>
      <c r="BX10">
        <v>-0.18938526999999999</v>
      </c>
      <c r="BY10">
        <v>-0.39076727999999999</v>
      </c>
      <c r="BZ10">
        <v>0.11817264</v>
      </c>
      <c r="CA10">
        <v>-0.25154135</v>
      </c>
      <c r="CB10">
        <v>7.9238859999999994E-2</v>
      </c>
      <c r="CC10">
        <v>0.1175517</v>
      </c>
      <c r="CD10">
        <v>3.7071012E-2</v>
      </c>
      <c r="CE10">
        <v>6.8346775999999998E-2</v>
      </c>
      <c r="CF10">
        <v>0.19088784</v>
      </c>
      <c r="CG10">
        <v>9.6612920000000005E-2</v>
      </c>
      <c r="CH10">
        <v>0.31096760000000001</v>
      </c>
      <c r="CI10">
        <v>0.38967687000000001</v>
      </c>
      <c r="CJ10">
        <v>0.27265816999999998</v>
      </c>
      <c r="CK10">
        <v>-0.40425870000000003</v>
      </c>
      <c r="CL10">
        <v>-1.6381070000000001E-2</v>
      </c>
      <c r="CM10">
        <v>2.5281528000000001E-2</v>
      </c>
      <c r="CN10">
        <v>-7.5105876000000002E-2</v>
      </c>
      <c r="CO10">
        <v>-0.28748332999999998</v>
      </c>
      <c r="CP10">
        <v>0.34597423999999999</v>
      </c>
      <c r="CQ10">
        <v>-3.3356900000000002E-2</v>
      </c>
      <c r="CR10">
        <v>0.12115084</v>
      </c>
      <c r="CS10">
        <v>-0.1775504</v>
      </c>
      <c r="CT10">
        <v>0.19272665999999999</v>
      </c>
      <c r="CU10">
        <v>-0.35877429999999999</v>
      </c>
      <c r="CV10">
        <v>-6.0330120000000001E-2</v>
      </c>
      <c r="CW10">
        <v>-9.0020279999999994E-2</v>
      </c>
      <c r="CX10">
        <v>-0.14428489999999999</v>
      </c>
      <c r="CY10">
        <v>-0.64377224</v>
      </c>
      <c r="CZ10">
        <v>4.5442110000000001E-2</v>
      </c>
      <c r="DA10">
        <v>-0.18884607</v>
      </c>
      <c r="DB10">
        <v>0.17675321999999999</v>
      </c>
      <c r="DC10">
        <v>0.47091302000000002</v>
      </c>
      <c r="DD10">
        <v>0.17719065000000001</v>
      </c>
      <c r="DE10">
        <v>-0.25015226000000002</v>
      </c>
      <c r="DF10">
        <v>-4.5722783000000003E-2</v>
      </c>
      <c r="DG10">
        <v>5.9906542E-2</v>
      </c>
      <c r="DH10">
        <v>8.176949E-2</v>
      </c>
      <c r="DI10">
        <v>0.10937252</v>
      </c>
      <c r="DJ10">
        <v>-2.1645661E-2</v>
      </c>
      <c r="DK10">
        <v>-0.30691168000000002</v>
      </c>
      <c r="DL10">
        <v>0.13302280999999999</v>
      </c>
      <c r="DM10">
        <v>-0.36151323000000002</v>
      </c>
      <c r="DN10">
        <v>0.15782321999999999</v>
      </c>
      <c r="DO10">
        <v>-3.0267097E-2</v>
      </c>
      <c r="DP10">
        <v>-6.3422315000000007E-2</v>
      </c>
      <c r="DQ10">
        <v>-0.24723126000000001</v>
      </c>
      <c r="DR10">
        <v>7.0246340000000004E-2</v>
      </c>
      <c r="DS10">
        <v>0.21256132</v>
      </c>
      <c r="DT10">
        <v>2.7338609999999999E-2</v>
      </c>
      <c r="DU10">
        <v>-3.8900293999999998E-3</v>
      </c>
      <c r="DV10">
        <v>-0.20656353</v>
      </c>
      <c r="DW10">
        <v>0.24256986</v>
      </c>
      <c r="DX10">
        <v>2.1337574000000002E-2</v>
      </c>
      <c r="DY10">
        <v>6.7154859999999997E-2</v>
      </c>
      <c r="DZ10">
        <v>0.101175934</v>
      </c>
    </row>
    <row r="11" spans="1:130" x14ac:dyDescent="0.3">
      <c r="A11">
        <f>Board!$I$2</f>
        <v>0</v>
      </c>
      <c r="C11">
        <v>0.1634147</v>
      </c>
      <c r="D11">
        <v>-0.19545096000000001</v>
      </c>
      <c r="E11">
        <v>-4.4534173000000003E-2</v>
      </c>
      <c r="F11">
        <v>-9.1488525000000001E-2</v>
      </c>
      <c r="G11">
        <v>-0.37840623000000001</v>
      </c>
      <c r="H11">
        <v>0.30050173000000002</v>
      </c>
      <c r="I11">
        <v>-0.56263269999999999</v>
      </c>
      <c r="J11">
        <v>-0.4538777</v>
      </c>
      <c r="K11">
        <v>0.28541860000000002</v>
      </c>
      <c r="L11">
        <v>-0.13014919999999999</v>
      </c>
      <c r="M11">
        <v>-0.22304328000000001</v>
      </c>
      <c r="N11">
        <v>8.1419099999999994E-2</v>
      </c>
      <c r="O11">
        <v>-0.22370027000000001</v>
      </c>
      <c r="P11">
        <v>-0.31570684999999998</v>
      </c>
      <c r="Q11">
        <v>0.12737799</v>
      </c>
      <c r="R11">
        <v>-5.0809287000000002E-2</v>
      </c>
      <c r="S11">
        <v>-9.9838704E-2</v>
      </c>
      <c r="T11">
        <v>0.4831857</v>
      </c>
      <c r="U11">
        <v>0.2449481</v>
      </c>
      <c r="V11">
        <v>-2.0505661000000001E-2</v>
      </c>
      <c r="W11">
        <v>-0.22810215</v>
      </c>
      <c r="X11">
        <v>-0.22183301999999999</v>
      </c>
      <c r="Y11">
        <v>8.0539263999999999E-2</v>
      </c>
      <c r="Z11">
        <v>-0.28127927000000003</v>
      </c>
      <c r="AA11">
        <v>-0.26420044999999998</v>
      </c>
      <c r="AB11">
        <v>0.24390962999999999</v>
      </c>
      <c r="AC11">
        <v>0.39081707999999998</v>
      </c>
      <c r="AD11">
        <v>0.24630495999999999</v>
      </c>
      <c r="AE11">
        <v>-0.36994523000000001</v>
      </c>
      <c r="AF11">
        <v>0.27548372999999998</v>
      </c>
      <c r="AG11">
        <v>-0.27765453000000001</v>
      </c>
      <c r="AH11">
        <v>0.57843239999999996</v>
      </c>
      <c r="AI11">
        <v>-0.21592715000000001</v>
      </c>
      <c r="AJ11">
        <v>-0.2975583</v>
      </c>
      <c r="AK11">
        <v>0.15033177</v>
      </c>
      <c r="AL11">
        <v>0.38226768</v>
      </c>
      <c r="AM11">
        <v>-0.16931629000000001</v>
      </c>
      <c r="AN11">
        <v>-0.35244477000000002</v>
      </c>
      <c r="AO11">
        <v>-0.32966994999999999</v>
      </c>
      <c r="AP11">
        <v>6.9281980000000007E-2</v>
      </c>
      <c r="AQ11">
        <v>0.15862515999999999</v>
      </c>
      <c r="AR11">
        <v>-0.29837158000000003</v>
      </c>
      <c r="AS11">
        <v>0.17020568</v>
      </c>
      <c r="AT11">
        <v>-7.0922059999999995E-2</v>
      </c>
      <c r="AU11">
        <v>0.47939533000000001</v>
      </c>
      <c r="AV11">
        <v>-0.20450708000000001</v>
      </c>
      <c r="AW11">
        <v>-0.20861265000000001</v>
      </c>
      <c r="AX11">
        <v>-4.644296E-3</v>
      </c>
      <c r="AY11">
        <v>-1.1756452000000001E-2</v>
      </c>
      <c r="AZ11">
        <v>-0.25312184999999998</v>
      </c>
      <c r="BA11">
        <v>-1.3441713500000001E-2</v>
      </c>
      <c r="BB11">
        <v>-5.8503279999999998E-2</v>
      </c>
      <c r="BC11">
        <v>0.25840214</v>
      </c>
      <c r="BD11">
        <v>0.21169589999999999</v>
      </c>
      <c r="BE11">
        <v>-5.1691300000000003E-2</v>
      </c>
      <c r="BF11">
        <v>-0.21060493999999999</v>
      </c>
      <c r="BG11">
        <v>-0.34577087000000001</v>
      </c>
      <c r="BH11">
        <v>0.57287480000000002</v>
      </c>
      <c r="BI11">
        <v>0.13375844000000001</v>
      </c>
      <c r="BJ11">
        <v>-0.15871004999999999</v>
      </c>
      <c r="BK11">
        <v>-0.28805160000000002</v>
      </c>
      <c r="BL11">
        <v>-4.6597089999999997E-3</v>
      </c>
      <c r="BM11">
        <v>-0.28428376</v>
      </c>
      <c r="BN11">
        <v>-0.14820812999999999</v>
      </c>
      <c r="BO11">
        <v>0.53928410000000004</v>
      </c>
      <c r="BP11">
        <v>-8.8749549999999996E-2</v>
      </c>
      <c r="BQ11">
        <v>0.12987236999999999</v>
      </c>
      <c r="BR11">
        <v>-0.14556062</v>
      </c>
      <c r="BS11">
        <v>0.24429509999999999</v>
      </c>
      <c r="BT11">
        <v>0.38123846</v>
      </c>
      <c r="BU11">
        <v>0.15467006999999999</v>
      </c>
      <c r="BV11">
        <v>-0.47880897</v>
      </c>
      <c r="BW11">
        <v>0.21040784000000001</v>
      </c>
      <c r="BX11">
        <v>1.1830299000000001E-2</v>
      </c>
      <c r="BY11">
        <v>-0.42160516999999997</v>
      </c>
      <c r="BZ11">
        <v>-1.9736205999999999E-2</v>
      </c>
      <c r="CA11">
        <v>-0.18463611999999999</v>
      </c>
      <c r="CB11">
        <v>0.14331467000000001</v>
      </c>
      <c r="CC11">
        <v>0.30019711999999998</v>
      </c>
      <c r="CD11">
        <v>0.25645380000000001</v>
      </c>
      <c r="CE11">
        <v>0.34038469999999998</v>
      </c>
      <c r="CF11">
        <v>0.36685672000000003</v>
      </c>
      <c r="CG11">
        <v>-2.4114478000000002E-2</v>
      </c>
      <c r="CH11">
        <v>0.28204005999999998</v>
      </c>
      <c r="CI11">
        <v>0.34027538000000002</v>
      </c>
      <c r="CJ11">
        <v>2.2827945999999998E-2</v>
      </c>
      <c r="CK11">
        <v>-0.38032060000000001</v>
      </c>
      <c r="CL11">
        <v>-0.27314959999999999</v>
      </c>
      <c r="CM11">
        <v>-6.0408883999999996E-3</v>
      </c>
      <c r="CN11">
        <v>-0.118583776</v>
      </c>
      <c r="CO11">
        <v>-0.24930267</v>
      </c>
      <c r="CP11">
        <v>0.35962640000000001</v>
      </c>
      <c r="CQ11">
        <v>-0.14303215</v>
      </c>
      <c r="CR11">
        <v>1.6517669999999999E-3</v>
      </c>
      <c r="CS11">
        <v>-0.23905162999999999</v>
      </c>
      <c r="CT11">
        <v>0.37888977000000001</v>
      </c>
      <c r="CU11">
        <v>-0.17991399999999999</v>
      </c>
      <c r="CV11">
        <v>9.1909519999999995E-2</v>
      </c>
      <c r="CW11">
        <v>3.9984067000000002E-3</v>
      </c>
      <c r="CX11">
        <v>-0.12635756000000001</v>
      </c>
      <c r="CY11">
        <v>-0.36549556</v>
      </c>
      <c r="CZ11">
        <v>-0.12342957</v>
      </c>
      <c r="DA11">
        <v>-0.20721895000000001</v>
      </c>
      <c r="DB11">
        <v>0.16478124</v>
      </c>
      <c r="DC11">
        <v>0.47094995000000001</v>
      </c>
      <c r="DD11">
        <v>0.15706028</v>
      </c>
      <c r="DE11">
        <v>4.4608745999999998E-2</v>
      </c>
      <c r="DF11">
        <v>-5.9547483999999998E-2</v>
      </c>
      <c r="DG11">
        <v>-5.410885E-2</v>
      </c>
      <c r="DH11">
        <v>9.9630594000000003E-2</v>
      </c>
      <c r="DI11">
        <v>0.14179726000000001</v>
      </c>
      <c r="DJ11">
        <v>3.2583504999999999E-2</v>
      </c>
      <c r="DK11">
        <v>-0.18603206</v>
      </c>
      <c r="DL11">
        <v>0.25272197000000002</v>
      </c>
      <c r="DM11">
        <v>-0.30872055999999998</v>
      </c>
      <c r="DN11">
        <v>0.15223274000000001</v>
      </c>
      <c r="DO11">
        <v>0.13708305000000001</v>
      </c>
      <c r="DP11">
        <v>-0.10884233</v>
      </c>
      <c r="DQ11">
        <v>-0.24237761999999999</v>
      </c>
      <c r="DR11">
        <v>0.11674764999999999</v>
      </c>
      <c r="DS11">
        <v>1.2879814999999999E-2</v>
      </c>
      <c r="DT11">
        <v>3.6309010000000003E-2</v>
      </c>
      <c r="DU11">
        <v>-2.9193638000000001E-2</v>
      </c>
      <c r="DV11">
        <v>-0.118712835</v>
      </c>
      <c r="DW11">
        <v>9.1934269999999998E-2</v>
      </c>
      <c r="DX11">
        <v>-1.0511037000000001E-2</v>
      </c>
      <c r="DY11">
        <v>1.5518407E-2</v>
      </c>
      <c r="DZ11">
        <v>-0.28855913999999999</v>
      </c>
    </row>
    <row r="12" spans="1:130" x14ac:dyDescent="0.3">
      <c r="A12">
        <f>Board!$J$2</f>
        <v>0</v>
      </c>
      <c r="C12">
        <v>-1.4390191E-2</v>
      </c>
      <c r="D12">
        <v>-0.104028024</v>
      </c>
      <c r="E12">
        <v>0.19700055</v>
      </c>
      <c r="F12">
        <v>0.11835304000000001</v>
      </c>
      <c r="G12">
        <v>-0.43627076999999997</v>
      </c>
      <c r="H12">
        <v>9.3777180000000002E-2</v>
      </c>
      <c r="I12">
        <v>-0.41323003000000003</v>
      </c>
      <c r="J12">
        <v>-0.23946355</v>
      </c>
      <c r="K12">
        <v>0.24567286999999999</v>
      </c>
      <c r="L12">
        <v>-4.4837742999999999E-2</v>
      </c>
      <c r="M12">
        <v>-5.7584469999999999E-2</v>
      </c>
      <c r="N12">
        <v>0.13967597000000001</v>
      </c>
      <c r="O12">
        <v>-0.11928579</v>
      </c>
      <c r="P12">
        <v>-0.12959313</v>
      </c>
      <c r="Q12">
        <v>0.20086771</v>
      </c>
      <c r="R12">
        <v>0.17872289999999999</v>
      </c>
      <c r="S12">
        <v>-0.16658212</v>
      </c>
      <c r="T12">
        <v>0.39256659999999999</v>
      </c>
      <c r="U12">
        <v>0.46926069999999998</v>
      </c>
      <c r="V12">
        <v>0.18990504999999999</v>
      </c>
      <c r="W12">
        <v>-0.16338922</v>
      </c>
      <c r="X12">
        <v>9.7291160000000002E-2</v>
      </c>
      <c r="Y12">
        <v>-0.20851885000000001</v>
      </c>
      <c r="Z12">
        <v>-0.42134339999999998</v>
      </c>
      <c r="AA12">
        <v>-0.26892423999999998</v>
      </c>
      <c r="AB12">
        <v>0.15463648999999999</v>
      </c>
      <c r="AC12">
        <v>0.47323303999999999</v>
      </c>
      <c r="AD12">
        <v>-1.1360225999999999E-2</v>
      </c>
      <c r="AE12">
        <v>-0.30035788000000002</v>
      </c>
      <c r="AF12">
        <v>0.50639109999999998</v>
      </c>
      <c r="AG12">
        <v>-0.14364229000000001</v>
      </c>
      <c r="AH12">
        <v>0.37795630000000002</v>
      </c>
      <c r="AI12">
        <v>-0.42771019999999998</v>
      </c>
      <c r="AJ12">
        <v>-0.25156655999999999</v>
      </c>
      <c r="AK12">
        <v>8.357494E-2</v>
      </c>
      <c r="AL12">
        <v>0.41305858000000001</v>
      </c>
      <c r="AM12">
        <v>-0.1956543</v>
      </c>
      <c r="AN12">
        <v>-0.32398443999999998</v>
      </c>
      <c r="AO12">
        <v>-0.18062402</v>
      </c>
      <c r="AP12">
        <v>0.20007849999999999</v>
      </c>
      <c r="AQ12">
        <v>-3.5904520000000002E-2</v>
      </c>
      <c r="AR12">
        <v>-0.17447308</v>
      </c>
      <c r="AS12">
        <v>0.17249697</v>
      </c>
      <c r="AT12">
        <v>0.40195855000000003</v>
      </c>
      <c r="AU12">
        <v>5.4715220000000002E-2</v>
      </c>
      <c r="AV12">
        <v>-0.17756024000000001</v>
      </c>
      <c r="AW12">
        <v>-0.4061398</v>
      </c>
      <c r="AX12">
        <v>-7.6203629999999994E-2</v>
      </c>
      <c r="AY12">
        <v>-0.22095013999999999</v>
      </c>
      <c r="AZ12">
        <v>-0.12763561000000001</v>
      </c>
      <c r="BA12">
        <v>-0.30231576999999998</v>
      </c>
      <c r="BB12">
        <v>-0.41723823999999998</v>
      </c>
      <c r="BC12">
        <v>0.12570041000000001</v>
      </c>
      <c r="BD12">
        <v>1.7486542000000001E-2</v>
      </c>
      <c r="BE12">
        <v>-0.19940662000000001</v>
      </c>
      <c r="BF12">
        <v>4.2125382000000001E-3</v>
      </c>
      <c r="BG12">
        <v>-0.10459512999999999</v>
      </c>
      <c r="BH12">
        <v>0.32489255</v>
      </c>
      <c r="BI12">
        <v>0.32879594000000001</v>
      </c>
      <c r="BJ12">
        <v>-0.31361633999999999</v>
      </c>
      <c r="BK12">
        <v>-0.22106914</v>
      </c>
      <c r="BL12">
        <v>7.104096E-2</v>
      </c>
      <c r="BM12">
        <v>-0.16726360000000001</v>
      </c>
      <c r="BN12">
        <v>-0.26259723000000001</v>
      </c>
      <c r="BO12">
        <v>0.39216703000000003</v>
      </c>
      <c r="BP12">
        <v>-0.14792820000000001</v>
      </c>
      <c r="BQ12">
        <v>0.2095159</v>
      </c>
      <c r="BR12">
        <v>-0.52768130000000002</v>
      </c>
      <c r="BS12">
        <v>0.25702997999999999</v>
      </c>
      <c r="BT12">
        <v>0.21967821000000001</v>
      </c>
      <c r="BU12">
        <v>0.40035763000000002</v>
      </c>
      <c r="BV12">
        <v>-0.40034923</v>
      </c>
      <c r="BW12">
        <v>0.49854602999999997</v>
      </c>
      <c r="BX12">
        <v>0.14518115000000001</v>
      </c>
      <c r="BY12">
        <v>-0.16919888999999999</v>
      </c>
      <c r="BZ12">
        <v>-0.21163936</v>
      </c>
      <c r="CA12">
        <v>-2.5759486000000002E-2</v>
      </c>
      <c r="CB12">
        <v>0.110352725</v>
      </c>
      <c r="CC12">
        <v>0.25013439999999998</v>
      </c>
      <c r="CD12">
        <v>0.30451455999999999</v>
      </c>
      <c r="CE12">
        <v>5.4288889999999999E-2</v>
      </c>
      <c r="CF12">
        <v>0.23609769999999999</v>
      </c>
      <c r="CG12">
        <v>-0.10803675</v>
      </c>
      <c r="CH12">
        <v>0.31810716</v>
      </c>
      <c r="CI12">
        <v>0.39337630000000001</v>
      </c>
      <c r="CJ12">
        <v>-7.9036599999999999E-2</v>
      </c>
      <c r="CK12">
        <v>-0.22317424</v>
      </c>
      <c r="CL12">
        <v>-6.6131419999999996E-2</v>
      </c>
      <c r="CM12">
        <v>-0.16606498</v>
      </c>
      <c r="CN12">
        <v>-0.2313472</v>
      </c>
      <c r="CO12">
        <v>-7.2358019999999995E-2</v>
      </c>
      <c r="CP12">
        <v>0.41267923000000001</v>
      </c>
      <c r="CQ12">
        <v>-0.1906177</v>
      </c>
      <c r="CR12">
        <v>-0.49143445000000002</v>
      </c>
      <c r="CS12">
        <v>-9.9777149999999995E-2</v>
      </c>
      <c r="CT12">
        <v>0.34588780000000002</v>
      </c>
      <c r="CU12">
        <v>-0.38717762</v>
      </c>
      <c r="CV12">
        <v>0.51291036999999995</v>
      </c>
      <c r="CW12">
        <v>-0.29770289999999999</v>
      </c>
      <c r="CX12">
        <v>-0.19289787</v>
      </c>
      <c r="CY12">
        <v>-0.25945497000000001</v>
      </c>
      <c r="CZ12">
        <v>-0.24317841000000001</v>
      </c>
      <c r="DA12">
        <v>-4.4688795000000003E-2</v>
      </c>
      <c r="DB12">
        <v>-9.6206979999999997E-2</v>
      </c>
      <c r="DC12">
        <v>0.35003957000000002</v>
      </c>
      <c r="DD12">
        <v>0.22774057</v>
      </c>
      <c r="DE12">
        <v>-0.27165103000000002</v>
      </c>
      <c r="DF12">
        <v>-0.11946993</v>
      </c>
      <c r="DG12">
        <v>-0.26147413000000003</v>
      </c>
      <c r="DH12">
        <v>0.25684360000000001</v>
      </c>
      <c r="DI12">
        <v>0.34839629999999999</v>
      </c>
      <c r="DJ12">
        <v>0.13830123999999999</v>
      </c>
      <c r="DK12">
        <v>-0.22630710000000001</v>
      </c>
      <c r="DL12">
        <v>0.21475229000000001</v>
      </c>
      <c r="DM12">
        <v>-0.28830090000000003</v>
      </c>
      <c r="DN12">
        <v>-0.21181491</v>
      </c>
      <c r="DO12">
        <v>0.22548364000000001</v>
      </c>
      <c r="DP12">
        <v>0.36968747000000002</v>
      </c>
      <c r="DQ12">
        <v>-0.41319539999999999</v>
      </c>
      <c r="DR12">
        <v>-0.10563233</v>
      </c>
      <c r="DS12">
        <v>-0.11465715999999999</v>
      </c>
      <c r="DT12">
        <v>0.54217879999999996</v>
      </c>
      <c r="DU12">
        <v>0.21415152000000001</v>
      </c>
      <c r="DV12">
        <v>0.1554307</v>
      </c>
      <c r="DW12">
        <v>0.22929252999999999</v>
      </c>
      <c r="DX12">
        <v>-0.21348307999999999</v>
      </c>
      <c r="DY12">
        <v>0.16049105999999999</v>
      </c>
      <c r="DZ12">
        <v>-0.28253879999999998</v>
      </c>
    </row>
    <row r="13" spans="1:130" x14ac:dyDescent="0.3">
      <c r="A13">
        <f>Board!$K$2</f>
        <v>0</v>
      </c>
      <c r="C13">
        <v>-0.15024024</v>
      </c>
      <c r="D13">
        <v>-0.16599932000000001</v>
      </c>
      <c r="E13">
        <v>0.44405270000000002</v>
      </c>
      <c r="F13">
        <v>0.22407608000000001</v>
      </c>
      <c r="G13">
        <v>-0.4035203</v>
      </c>
      <c r="H13">
        <v>0.11308222</v>
      </c>
      <c r="I13">
        <v>-0.40660980000000002</v>
      </c>
      <c r="J13">
        <v>-0.21910757</v>
      </c>
      <c r="K13">
        <v>0.21905836000000001</v>
      </c>
      <c r="L13">
        <v>-8.4032759999999998E-2</v>
      </c>
      <c r="M13">
        <v>-0.18594313000000001</v>
      </c>
      <c r="N13">
        <v>0.4890872</v>
      </c>
      <c r="O13">
        <v>-0.16151518000000001</v>
      </c>
      <c r="P13">
        <v>-0.22643277000000001</v>
      </c>
      <c r="Q13">
        <v>0.31492794000000002</v>
      </c>
      <c r="R13">
        <v>0.23855865000000001</v>
      </c>
      <c r="S13">
        <v>5.0814748E-2</v>
      </c>
      <c r="T13">
        <v>0.22950019999999999</v>
      </c>
      <c r="U13">
        <v>0.3105656</v>
      </c>
      <c r="V13">
        <v>0.10674836</v>
      </c>
      <c r="W13">
        <v>-0.24029724</v>
      </c>
      <c r="X13">
        <v>9.9126905000000001E-2</v>
      </c>
      <c r="Y13">
        <v>-0.10690312</v>
      </c>
      <c r="Z13">
        <v>-0.26493746000000001</v>
      </c>
      <c r="AA13">
        <v>-0.23757470999999999</v>
      </c>
      <c r="AB13">
        <v>0.25450987000000003</v>
      </c>
      <c r="AC13">
        <v>0.50329199999999996</v>
      </c>
      <c r="AD13">
        <v>3.7584119999999999E-2</v>
      </c>
      <c r="AE13">
        <v>-0.29177698000000002</v>
      </c>
      <c r="AF13">
        <v>0.33921259999999998</v>
      </c>
      <c r="AG13">
        <v>-0.17421484000000001</v>
      </c>
      <c r="AH13">
        <v>0.2060631</v>
      </c>
      <c r="AI13">
        <v>-0.45030750000000003</v>
      </c>
      <c r="AJ13">
        <v>-0.2123622</v>
      </c>
      <c r="AK13">
        <v>0.1926976</v>
      </c>
      <c r="AL13">
        <v>0.22089037</v>
      </c>
      <c r="AM13">
        <v>-0.21696161999999999</v>
      </c>
      <c r="AN13">
        <v>-0.26577315000000001</v>
      </c>
      <c r="AO13">
        <v>-0.11313091</v>
      </c>
      <c r="AP13">
        <v>8.5048764999999998E-2</v>
      </c>
      <c r="AQ13">
        <v>0.17795380999999999</v>
      </c>
      <c r="AR13">
        <v>-5.9272468000000002E-2</v>
      </c>
      <c r="AS13">
        <v>0.25072914000000002</v>
      </c>
      <c r="AT13">
        <v>0.4575535</v>
      </c>
      <c r="AU13">
        <v>8.4658949999999997E-2</v>
      </c>
      <c r="AV13">
        <v>-0.15543687</v>
      </c>
      <c r="AW13">
        <v>-0.29119200000000001</v>
      </c>
      <c r="AX13">
        <v>-0.10625103</v>
      </c>
      <c r="AY13">
        <v>-0.30073591999999999</v>
      </c>
      <c r="AZ13">
        <v>-4.385493E-2</v>
      </c>
      <c r="BA13">
        <v>-0.15705214000000001</v>
      </c>
      <c r="BB13">
        <v>-0.36613370000000001</v>
      </c>
      <c r="BC13">
        <v>0.39235579999999998</v>
      </c>
      <c r="BD13">
        <v>5.6115369999999998E-2</v>
      </c>
      <c r="BE13">
        <v>-0.36726271999999999</v>
      </c>
      <c r="BF13">
        <v>1.6055215000000001E-2</v>
      </c>
      <c r="BG13">
        <v>-6.6280454000000003E-2</v>
      </c>
      <c r="BH13">
        <v>0.38374483999999998</v>
      </c>
      <c r="BI13">
        <v>0.29044094999999998</v>
      </c>
      <c r="BJ13">
        <v>-8.0826549999999997E-2</v>
      </c>
      <c r="BK13">
        <v>-0.30406642</v>
      </c>
      <c r="BL13">
        <v>0.49803155999999998</v>
      </c>
      <c r="BM13">
        <v>-0.21284259999999999</v>
      </c>
      <c r="BN13">
        <v>-7.9621419999999998E-2</v>
      </c>
      <c r="BO13">
        <v>0.20554486999999999</v>
      </c>
      <c r="BP13">
        <v>-0.45124884999999998</v>
      </c>
      <c r="BQ13">
        <v>0.39877498</v>
      </c>
      <c r="BR13">
        <v>-0.30576402000000003</v>
      </c>
      <c r="BS13">
        <v>0.38281196000000001</v>
      </c>
      <c r="BT13">
        <v>0.19493002000000001</v>
      </c>
      <c r="BU13">
        <v>0.45513785000000001</v>
      </c>
      <c r="BV13">
        <v>-0.33681548</v>
      </c>
      <c r="BW13">
        <v>0.51549697000000005</v>
      </c>
      <c r="BX13">
        <v>5.2442227000000001E-2</v>
      </c>
      <c r="BY13">
        <v>-0.44893807000000002</v>
      </c>
      <c r="BZ13">
        <v>-0.18020011</v>
      </c>
      <c r="CA13">
        <v>-3.5941830000000001E-2</v>
      </c>
      <c r="CB13">
        <v>0.34056189999999997</v>
      </c>
      <c r="CC13">
        <v>0.20011536999999999</v>
      </c>
      <c r="CD13">
        <v>0.29720348000000002</v>
      </c>
      <c r="CE13">
        <v>0.33166256999999999</v>
      </c>
      <c r="CF13">
        <v>0.23348865999999999</v>
      </c>
      <c r="CG13">
        <v>-7.7937820000000005E-2</v>
      </c>
      <c r="CH13">
        <v>0.16961828000000001</v>
      </c>
      <c r="CI13">
        <v>0.24156173</v>
      </c>
      <c r="CJ13">
        <v>-5.9141472E-2</v>
      </c>
      <c r="CK13">
        <v>-0.19147158</v>
      </c>
      <c r="CL13">
        <v>-0.27795367999999998</v>
      </c>
      <c r="CM13">
        <v>-0.42677870000000001</v>
      </c>
      <c r="CN13">
        <v>-1.0361403999999999E-2</v>
      </c>
      <c r="CO13">
        <v>-0.124624915</v>
      </c>
      <c r="CP13">
        <v>0.19760579</v>
      </c>
      <c r="CQ13">
        <v>-0.11174927</v>
      </c>
      <c r="CR13">
        <v>-0.3643014</v>
      </c>
      <c r="CS13">
        <v>-0.24823265</v>
      </c>
      <c r="CT13">
        <v>0.16804074999999999</v>
      </c>
      <c r="CU13">
        <v>-0.17773652000000001</v>
      </c>
      <c r="CV13">
        <v>0.44081998</v>
      </c>
      <c r="CW13">
        <v>-0.29611979999999999</v>
      </c>
      <c r="CX13">
        <v>-0.34088247999999999</v>
      </c>
      <c r="CY13">
        <v>-0.110464334</v>
      </c>
      <c r="CZ13">
        <v>-0.14584483000000001</v>
      </c>
      <c r="DA13">
        <v>-0.30441987999999998</v>
      </c>
      <c r="DB13">
        <v>-0.28890595000000002</v>
      </c>
      <c r="DC13">
        <v>0.26128793</v>
      </c>
      <c r="DD13">
        <v>0.41967850000000001</v>
      </c>
      <c r="DE13">
        <v>-0.20782361999999999</v>
      </c>
      <c r="DF13">
        <v>-4.5390307999999997E-2</v>
      </c>
      <c r="DG13">
        <v>-0.27043539999999999</v>
      </c>
      <c r="DH13">
        <v>0.22630750999999999</v>
      </c>
      <c r="DI13">
        <v>0.27894056</v>
      </c>
      <c r="DJ13">
        <v>0.30477895999999999</v>
      </c>
      <c r="DK13">
        <v>-0.32912954999999999</v>
      </c>
      <c r="DL13">
        <v>0.43990435999999999</v>
      </c>
      <c r="DM13">
        <v>-0.24152220999999999</v>
      </c>
      <c r="DN13">
        <v>-0.17472745000000001</v>
      </c>
      <c r="DO13">
        <v>0.33710741999999999</v>
      </c>
      <c r="DP13">
        <v>0.23592329000000001</v>
      </c>
      <c r="DQ13">
        <v>-0.36235499999999998</v>
      </c>
      <c r="DR13">
        <v>-0.15360789</v>
      </c>
      <c r="DS13">
        <v>-0.34595432999999998</v>
      </c>
      <c r="DT13">
        <v>0.35306423999999997</v>
      </c>
      <c r="DU13">
        <v>0.40892216999999997</v>
      </c>
      <c r="DV13">
        <v>-1.3748781E-2</v>
      </c>
      <c r="DW13">
        <v>0.28939100000000001</v>
      </c>
      <c r="DX13">
        <v>-0.30683284999999999</v>
      </c>
      <c r="DY13">
        <v>0.38958253999999998</v>
      </c>
      <c r="DZ13">
        <v>-0.25302267000000001</v>
      </c>
    </row>
    <row r="14" spans="1:130" x14ac:dyDescent="0.3">
      <c r="A14">
        <f>Board!$L$2</f>
        <v>0</v>
      </c>
      <c r="C14">
        <v>-1.5244499999999999E-2</v>
      </c>
      <c r="D14">
        <v>-0.12963532999999999</v>
      </c>
      <c r="E14">
        <v>0.23334737</v>
      </c>
      <c r="F14">
        <v>-2.6957157999999998E-2</v>
      </c>
      <c r="G14">
        <v>-0.13135292000000001</v>
      </c>
      <c r="H14">
        <v>7.3363899999999996E-2</v>
      </c>
      <c r="I14">
        <v>-0.34199249999999998</v>
      </c>
      <c r="J14">
        <v>6.9694696E-3</v>
      </c>
      <c r="K14">
        <v>0.18051843000000001</v>
      </c>
      <c r="L14">
        <v>5.6386360000000003E-2</v>
      </c>
      <c r="M14">
        <v>-0.15950422</v>
      </c>
      <c r="N14">
        <v>0.23002395</v>
      </c>
      <c r="O14">
        <v>9.9198445999999996E-2</v>
      </c>
      <c r="P14">
        <v>-0.19615966000000001</v>
      </c>
      <c r="Q14">
        <v>0.38169700000000001</v>
      </c>
      <c r="R14">
        <v>0.38708153000000001</v>
      </c>
      <c r="S14">
        <v>-1.3005915999999999E-2</v>
      </c>
      <c r="T14">
        <v>3.1700357999999998E-2</v>
      </c>
      <c r="U14">
        <v>0.22703860000000001</v>
      </c>
      <c r="V14">
        <v>0.24205904</v>
      </c>
      <c r="W14">
        <v>3.8460902999999998E-2</v>
      </c>
      <c r="X14">
        <v>4.3035866999999997E-3</v>
      </c>
      <c r="Y14">
        <v>-7.3297370000000001E-2</v>
      </c>
      <c r="Z14">
        <v>-0.130053</v>
      </c>
      <c r="AA14">
        <v>7.5704209999999994E-2</v>
      </c>
      <c r="AB14">
        <v>0.29719082000000002</v>
      </c>
      <c r="AC14">
        <v>0.20979249999999999</v>
      </c>
      <c r="AD14">
        <v>4.0140186000000001E-2</v>
      </c>
      <c r="AE14">
        <v>-0.12783504000000001</v>
      </c>
      <c r="AF14">
        <v>0.13178783999999999</v>
      </c>
      <c r="AG14">
        <v>-0.10147319</v>
      </c>
      <c r="AH14">
        <v>0.22734678</v>
      </c>
      <c r="AI14">
        <v>-0.25729263000000002</v>
      </c>
      <c r="AJ14">
        <v>6.9801450000000001E-2</v>
      </c>
      <c r="AK14">
        <v>9.3874810000000003E-2</v>
      </c>
      <c r="AL14">
        <v>2.6026595E-2</v>
      </c>
      <c r="AM14">
        <v>-4.4787680000000003E-2</v>
      </c>
      <c r="AN14">
        <v>-2.4056945E-2</v>
      </c>
      <c r="AO14">
        <v>-3.7819150000000003E-2</v>
      </c>
      <c r="AP14">
        <v>-0.14132202999999999</v>
      </c>
      <c r="AQ14">
        <v>4.9944743999999999E-2</v>
      </c>
      <c r="AR14">
        <v>2.7541887000000001E-2</v>
      </c>
      <c r="AS14">
        <v>0.33623764</v>
      </c>
      <c r="AT14">
        <v>0.20355682</v>
      </c>
      <c r="AU14">
        <v>-8.4959030000000005E-2</v>
      </c>
      <c r="AV14">
        <v>-0.10162984999999999</v>
      </c>
      <c r="AW14">
        <v>-0.14733515999999999</v>
      </c>
      <c r="AX14">
        <v>-0.20489769999999999</v>
      </c>
      <c r="AY14">
        <v>-6.2711470000000005E-2</v>
      </c>
      <c r="AZ14">
        <v>3.8138095000000002E-3</v>
      </c>
      <c r="BA14">
        <v>-0.20928163999999999</v>
      </c>
      <c r="BB14">
        <v>-0.10762281999999999</v>
      </c>
      <c r="BC14">
        <v>0.12993856000000001</v>
      </c>
      <c r="BD14">
        <v>2.8606664E-2</v>
      </c>
      <c r="BE14">
        <v>-0.22588995000000001</v>
      </c>
      <c r="BF14">
        <v>8.9342939999999996E-2</v>
      </c>
      <c r="BG14">
        <v>-2.9955367E-2</v>
      </c>
      <c r="BH14">
        <v>0.18409487999999999</v>
      </c>
      <c r="BI14">
        <v>6.4290494000000004E-2</v>
      </c>
      <c r="BJ14">
        <v>0.12068915</v>
      </c>
      <c r="BK14">
        <v>-0.20065118000000001</v>
      </c>
      <c r="BL14">
        <v>0.21811523999999999</v>
      </c>
      <c r="BM14">
        <v>-0.14166354</v>
      </c>
      <c r="BN14">
        <v>-0.15669327999999999</v>
      </c>
      <c r="BO14">
        <v>0.15426339</v>
      </c>
      <c r="BP14">
        <v>-0.35150345999999999</v>
      </c>
      <c r="BQ14">
        <v>0.38459306999999998</v>
      </c>
      <c r="BR14">
        <v>-0.14757948000000001</v>
      </c>
      <c r="BS14">
        <v>0.24731006</v>
      </c>
      <c r="BT14">
        <v>5.2876542999999998E-2</v>
      </c>
      <c r="BU14">
        <v>0.35674827999999997</v>
      </c>
      <c r="BV14">
        <v>-1.6295852000000001E-3</v>
      </c>
      <c r="BW14">
        <v>0.28331012</v>
      </c>
      <c r="BX14">
        <v>0.20026504000000001</v>
      </c>
      <c r="BY14">
        <v>-0.21427038000000001</v>
      </c>
      <c r="BZ14">
        <v>-6.9855050000000004E-3</v>
      </c>
      <c r="CA14">
        <v>-7.457047E-2</v>
      </c>
      <c r="CB14">
        <v>0.30104863999999998</v>
      </c>
      <c r="CC14">
        <v>0.13079473</v>
      </c>
      <c r="CD14">
        <v>0.24707545</v>
      </c>
      <c r="CE14">
        <v>0.27706510000000001</v>
      </c>
      <c r="CF14">
        <v>0.18637144999999999</v>
      </c>
      <c r="CG14">
        <v>-1.9607222000000001E-2</v>
      </c>
      <c r="CH14">
        <v>9.9959950000000006E-2</v>
      </c>
      <c r="CI14">
        <v>0.30248848</v>
      </c>
      <c r="CJ14">
        <v>-8.6478315E-2</v>
      </c>
      <c r="CK14">
        <v>-8.5117830000000005E-2</v>
      </c>
      <c r="CL14">
        <v>-0.3010292</v>
      </c>
      <c r="CM14">
        <v>-0.16491188000000001</v>
      </c>
      <c r="CN14">
        <v>-0.11046887</v>
      </c>
      <c r="CO14">
        <v>-0.17065606999999999</v>
      </c>
      <c r="CP14">
        <v>6.9550774999999995E-2</v>
      </c>
      <c r="CQ14">
        <v>-0.11492471999999999</v>
      </c>
      <c r="CR14">
        <v>-0.21728422999999999</v>
      </c>
      <c r="CS14">
        <v>-0.27198159999999999</v>
      </c>
      <c r="CT14">
        <v>0.14068659</v>
      </c>
      <c r="CU14">
        <v>-0.16580811000000001</v>
      </c>
      <c r="CV14">
        <v>0.34309630000000002</v>
      </c>
      <c r="CW14">
        <v>-7.6234350000000006E-2</v>
      </c>
      <c r="CX14">
        <v>-5.3075711999999997E-2</v>
      </c>
      <c r="CY14">
        <v>1.462685E-3</v>
      </c>
      <c r="CZ14">
        <v>-0.13739488999999999</v>
      </c>
      <c r="DA14">
        <v>-0.17019233</v>
      </c>
      <c r="DB14">
        <v>-0.20460795000000001</v>
      </c>
      <c r="DC14">
        <v>0.17183802000000001</v>
      </c>
      <c r="DD14">
        <v>0.25970443999999998</v>
      </c>
      <c r="DE14">
        <v>-8.6915776E-2</v>
      </c>
      <c r="DF14">
        <v>-3.7290700000000003E-2</v>
      </c>
      <c r="DG14">
        <v>-0.16706815</v>
      </c>
      <c r="DH14">
        <v>0.16184773999999999</v>
      </c>
      <c r="DI14">
        <v>0.41159691999999998</v>
      </c>
      <c r="DJ14">
        <v>0.30470525999999998</v>
      </c>
      <c r="DK14">
        <v>-0.15776140999999999</v>
      </c>
      <c r="DL14">
        <v>0.40332030000000002</v>
      </c>
      <c r="DM14">
        <v>-0.15039305</v>
      </c>
      <c r="DN14">
        <v>8.2320295000000002E-2</v>
      </c>
      <c r="DO14">
        <v>0.11899704</v>
      </c>
      <c r="DP14">
        <v>9.4131090000000001E-2</v>
      </c>
      <c r="DQ14">
        <v>-0.2122194</v>
      </c>
      <c r="DR14">
        <v>-0.22679415</v>
      </c>
      <c r="DS14">
        <v>-0.123601556</v>
      </c>
      <c r="DT14">
        <v>0.37592681999999999</v>
      </c>
      <c r="DU14">
        <v>0.18976519</v>
      </c>
      <c r="DV14">
        <v>4.3139245E-2</v>
      </c>
      <c r="DW14">
        <v>0.15996125</v>
      </c>
      <c r="DX14">
        <v>7.5955819999999993E-2</v>
      </c>
      <c r="DY14">
        <v>0.26404490000000003</v>
      </c>
      <c r="DZ14">
        <v>4.7354004999999998E-2</v>
      </c>
    </row>
    <row r="15" spans="1:130" x14ac:dyDescent="0.3">
      <c r="A15">
        <f>Board!$M$2</f>
        <v>0</v>
      </c>
      <c r="C15">
        <v>5.5272950000000001E-2</v>
      </c>
      <c r="D15">
        <v>0.11909857</v>
      </c>
      <c r="E15">
        <v>-4.8809268000000003E-2</v>
      </c>
      <c r="F15">
        <v>0.10421497</v>
      </c>
      <c r="G15">
        <v>-4.5761216E-2</v>
      </c>
      <c r="H15">
        <v>1.6271655999999999E-2</v>
      </c>
      <c r="I15">
        <v>-1.6460348E-2</v>
      </c>
      <c r="J15">
        <v>-7.8546939999999996E-2</v>
      </c>
      <c r="K15">
        <v>9.9919610000000006E-2</v>
      </c>
      <c r="L15">
        <v>8.0553550000000002E-2</v>
      </c>
      <c r="M15">
        <v>9.0845759999999998E-2</v>
      </c>
      <c r="N15">
        <v>-3.6647350000000002E-2</v>
      </c>
      <c r="O15">
        <v>-0.14547252999999999</v>
      </c>
      <c r="P15">
        <v>0.11631904999999999</v>
      </c>
      <c r="Q15">
        <v>-9.9825070000000002E-2</v>
      </c>
      <c r="R15">
        <v>0.16939661</v>
      </c>
      <c r="S15">
        <v>0.12998222000000001</v>
      </c>
      <c r="T15">
        <v>8.206368E-2</v>
      </c>
      <c r="U15">
        <v>-5.5163726000000003E-2</v>
      </c>
      <c r="V15">
        <v>-7.9963280000000005E-3</v>
      </c>
      <c r="W15">
        <v>2.0225935E-2</v>
      </c>
      <c r="X15">
        <v>-2.7063534E-2</v>
      </c>
      <c r="Y15">
        <v>0.13793057</v>
      </c>
      <c r="Z15">
        <v>-9.1008839999999994E-2</v>
      </c>
      <c r="AA15">
        <v>-5.9573189999999998E-2</v>
      </c>
      <c r="AB15">
        <v>-0.11899504</v>
      </c>
      <c r="AC15">
        <v>-1.1216164000000001E-2</v>
      </c>
      <c r="AD15">
        <v>-5.5616260000000001E-2</v>
      </c>
      <c r="AE15">
        <v>4.1584283E-2</v>
      </c>
      <c r="AF15">
        <v>6.9960480000000005E-2</v>
      </c>
      <c r="AG15">
        <v>7.3559570000000005E-2</v>
      </c>
      <c r="AH15">
        <v>-5.6766780000000003E-2</v>
      </c>
      <c r="AI15">
        <v>2.6445232999999999E-3</v>
      </c>
      <c r="AJ15">
        <v>0.11616878999999999</v>
      </c>
      <c r="AK15">
        <v>-4.5908089999999999E-2</v>
      </c>
      <c r="AL15">
        <v>-0.11097059400000001</v>
      </c>
      <c r="AM15">
        <v>7.9594604999999999E-2</v>
      </c>
      <c r="AN15">
        <v>-4.3423080000000003E-2</v>
      </c>
      <c r="AO15">
        <v>-0.106740944</v>
      </c>
      <c r="AP15">
        <v>7.6427973999999996E-2</v>
      </c>
      <c r="AQ15">
        <v>2.2489843999999998E-2</v>
      </c>
      <c r="AR15">
        <v>0.11778775</v>
      </c>
      <c r="AS15">
        <v>0.10211208500000001</v>
      </c>
      <c r="AT15">
        <v>0.1577308</v>
      </c>
      <c r="AU15">
        <v>-0.16232305999999999</v>
      </c>
      <c r="AV15">
        <v>0.10551389999999999</v>
      </c>
      <c r="AW15">
        <v>-0.14751886</v>
      </c>
      <c r="AX15">
        <v>-2.7147813E-2</v>
      </c>
      <c r="AY15">
        <v>-6.8600300000000003E-2</v>
      </c>
      <c r="AZ15">
        <v>2.5373110000000001E-2</v>
      </c>
      <c r="BA15">
        <v>9.2189999999999994E-2</v>
      </c>
      <c r="BB15">
        <v>0.12189522</v>
      </c>
      <c r="BC15">
        <v>4.2008330000000003E-2</v>
      </c>
      <c r="BD15">
        <v>-4.1555426999999999E-2</v>
      </c>
      <c r="BE15">
        <v>0.121245414</v>
      </c>
      <c r="BF15">
        <v>0.14107437</v>
      </c>
      <c r="BG15">
        <v>-4.5810927000000001E-2</v>
      </c>
      <c r="BH15">
        <v>3.8606923000000001E-2</v>
      </c>
      <c r="BI15">
        <v>2.5006069999999998E-2</v>
      </c>
      <c r="BJ15">
        <v>-4.5585095999999999E-2</v>
      </c>
      <c r="BK15">
        <v>-0.1442435</v>
      </c>
      <c r="BL15">
        <v>6.5805464999999994E-2</v>
      </c>
      <c r="BM15">
        <v>2.0747483000000001E-2</v>
      </c>
      <c r="BN15">
        <v>-0.12356561000000001</v>
      </c>
      <c r="BO15">
        <v>0.16462076</v>
      </c>
      <c r="BP15">
        <v>-0.10437219</v>
      </c>
      <c r="BQ15">
        <v>0.12508179999999999</v>
      </c>
      <c r="BR15">
        <v>-6.9207610000000003E-2</v>
      </c>
      <c r="BS15">
        <v>-2.1006044000000001E-2</v>
      </c>
      <c r="BT15">
        <v>0.10973972999999999</v>
      </c>
      <c r="BU15">
        <v>-8.6837810000000001E-2</v>
      </c>
      <c r="BV15">
        <v>9.2077019999999996E-2</v>
      </c>
      <c r="BW15">
        <v>-4.6895514999999999E-2</v>
      </c>
      <c r="BX15">
        <v>9.3906205000000003E-3</v>
      </c>
      <c r="BY15">
        <v>2.4338881E-4</v>
      </c>
      <c r="BZ15">
        <v>-0.13141364999999999</v>
      </c>
      <c r="CA15">
        <v>4.0093901999999999E-3</v>
      </c>
      <c r="CB15">
        <v>-4.4393107000000001E-2</v>
      </c>
      <c r="CC15">
        <v>-2.0224417000000001E-3</v>
      </c>
      <c r="CD15">
        <v>0.13433236000000001</v>
      </c>
      <c r="CE15">
        <v>1.4544454000000001E-3</v>
      </c>
      <c r="CF15">
        <v>-8.8357374000000002E-2</v>
      </c>
      <c r="CG15">
        <v>8.8977440000000005E-2</v>
      </c>
      <c r="CH15">
        <v>-7.2565905999999999E-2</v>
      </c>
      <c r="CI15">
        <v>0.14730426999999999</v>
      </c>
      <c r="CJ15">
        <v>-0.10280643</v>
      </c>
      <c r="CK15">
        <v>8.13358E-2</v>
      </c>
      <c r="CL15">
        <v>6.9699029999999995E-2</v>
      </c>
      <c r="CM15">
        <v>-5.9337123999999998E-2</v>
      </c>
      <c r="CN15">
        <v>8.39694E-2</v>
      </c>
      <c r="CO15">
        <v>-2.0611549999999999E-2</v>
      </c>
      <c r="CP15">
        <v>-0.11725566</v>
      </c>
      <c r="CQ15">
        <v>8.9257119999999995E-2</v>
      </c>
      <c r="CR15">
        <v>-2.2368142000000001E-2</v>
      </c>
      <c r="CS15">
        <v>7.6704255999999998E-2</v>
      </c>
      <c r="CT15">
        <v>-2.4870768000000001E-2</v>
      </c>
      <c r="CU15">
        <v>-0.10506422</v>
      </c>
      <c r="CV15">
        <v>-0.13658619999999999</v>
      </c>
      <c r="CW15">
        <v>3.8407665000000001E-2</v>
      </c>
      <c r="CX15">
        <v>-0.107556015</v>
      </c>
      <c r="CY15">
        <v>2.4086310999999999E-2</v>
      </c>
      <c r="CZ15">
        <v>9.572319E-2</v>
      </c>
      <c r="DA15">
        <v>-7.9067305000000004E-2</v>
      </c>
      <c r="DB15">
        <v>-7.1931413999999999E-2</v>
      </c>
      <c r="DC15">
        <v>-0.12686990000000001</v>
      </c>
      <c r="DD15">
        <v>1.85916E-2</v>
      </c>
      <c r="DE15">
        <v>3.3824854000000001E-2</v>
      </c>
      <c r="DF15">
        <v>0.107062176</v>
      </c>
      <c r="DG15">
        <v>3.026968E-2</v>
      </c>
      <c r="DH15">
        <v>7.0742353999999993E-2</v>
      </c>
      <c r="DI15">
        <v>-0.13211401</v>
      </c>
      <c r="DJ15">
        <v>3.9823440000000002E-2</v>
      </c>
      <c r="DK15">
        <v>1.0745146000000001E-2</v>
      </c>
      <c r="DL15">
        <v>7.5710710000000001E-2</v>
      </c>
      <c r="DM15">
        <v>5.3221848000000002E-2</v>
      </c>
      <c r="DN15">
        <v>8.7604429999999997E-2</v>
      </c>
      <c r="DO15">
        <v>5.9536475999999998E-2</v>
      </c>
      <c r="DP15">
        <v>6.6600842000000002E-3</v>
      </c>
      <c r="DQ15">
        <v>-6.0980310000000003E-2</v>
      </c>
      <c r="DR15">
        <v>-0.11450736</v>
      </c>
      <c r="DS15">
        <v>-7.1721179999999995E-2</v>
      </c>
      <c r="DT15">
        <v>4.5364085999999998E-2</v>
      </c>
      <c r="DU15">
        <v>-5.4846190000000003E-2</v>
      </c>
      <c r="DV15">
        <v>9.8024180000000002E-2</v>
      </c>
      <c r="DW15">
        <v>-3.0781368E-2</v>
      </c>
      <c r="DX15">
        <v>-4.9685918000000003E-2</v>
      </c>
      <c r="DY15">
        <v>-2.4098881999999999E-2</v>
      </c>
      <c r="DZ15">
        <v>0.14262511999999999</v>
      </c>
    </row>
    <row r="16" spans="1:130" x14ac:dyDescent="0.3">
      <c r="A16">
        <f>Board!$B$3</f>
        <v>0</v>
      </c>
      <c r="C16">
        <v>8.6762870000000006E-2</v>
      </c>
      <c r="D16">
        <v>0.13253544</v>
      </c>
      <c r="E16">
        <v>5.5855870000000002E-2</v>
      </c>
      <c r="F16">
        <v>6.7587726000000001E-2</v>
      </c>
      <c r="G16">
        <v>-4.7365381999999998E-2</v>
      </c>
      <c r="H16">
        <v>-6.562084E-2</v>
      </c>
      <c r="I16">
        <v>-0.12119590500000001</v>
      </c>
      <c r="J16">
        <v>0.14288442000000001</v>
      </c>
      <c r="K16">
        <v>-8.4944400000000003E-2</v>
      </c>
      <c r="L16">
        <v>-0.12807360000000001</v>
      </c>
      <c r="M16">
        <v>-0.12423554000000001</v>
      </c>
      <c r="N16">
        <v>-3.0670391000000002E-2</v>
      </c>
      <c r="O16">
        <v>0.12402125999999999</v>
      </c>
      <c r="P16">
        <v>-8.9484475999999993E-2</v>
      </c>
      <c r="Q16">
        <v>-0.15388702000000001</v>
      </c>
      <c r="R16">
        <v>0.100800484</v>
      </c>
      <c r="S16">
        <v>6.6513199999999995E-2</v>
      </c>
      <c r="T16">
        <v>7.3474200000000003E-3</v>
      </c>
      <c r="U16">
        <v>6.271765E-2</v>
      </c>
      <c r="V16">
        <v>-8.4440790000000002E-2</v>
      </c>
      <c r="W16">
        <v>0.13733666999999999</v>
      </c>
      <c r="X16">
        <v>-0.16099699000000001</v>
      </c>
      <c r="Y16">
        <v>8.1058530000000004E-2</v>
      </c>
      <c r="Z16">
        <v>-0.14072989</v>
      </c>
      <c r="AA16">
        <v>0.10985013</v>
      </c>
      <c r="AB16">
        <v>9.7325325000000004E-2</v>
      </c>
      <c r="AC16">
        <v>-4.4698734000000002E-3</v>
      </c>
      <c r="AD16">
        <v>-4.3439189999999999E-4</v>
      </c>
      <c r="AE16">
        <v>-3.3982970999999998E-3</v>
      </c>
      <c r="AF16">
        <v>5.939287E-2</v>
      </c>
      <c r="AG16">
        <v>6.1873461999999997E-2</v>
      </c>
      <c r="AH16">
        <v>9.5995189999999994E-2</v>
      </c>
      <c r="AI16">
        <v>6.5094330000000006E-2</v>
      </c>
      <c r="AJ16">
        <v>0.12876575000000001</v>
      </c>
      <c r="AK16">
        <v>-0.13215426999999999</v>
      </c>
      <c r="AL16">
        <v>7.9359174000000005E-2</v>
      </c>
      <c r="AM16">
        <v>0.13356733000000001</v>
      </c>
      <c r="AN16">
        <v>0.10911947499999999</v>
      </c>
      <c r="AO16">
        <v>-4.3543853E-2</v>
      </c>
      <c r="AP16">
        <v>-0.12107074</v>
      </c>
      <c r="AQ16">
        <v>-2.0692163999999999E-2</v>
      </c>
      <c r="AR16">
        <v>-3.913962E-2</v>
      </c>
      <c r="AS16">
        <v>1.1310054999999999E-2</v>
      </c>
      <c r="AT16">
        <v>2.5103272999999999E-2</v>
      </c>
      <c r="AU16">
        <v>-5.6223065000000003E-2</v>
      </c>
      <c r="AV16">
        <v>2.4692615000000001E-2</v>
      </c>
      <c r="AW16">
        <v>0.13839723000000001</v>
      </c>
      <c r="AX16">
        <v>-5.1528270000000001E-2</v>
      </c>
      <c r="AY16">
        <v>-0.11097403</v>
      </c>
      <c r="AZ16">
        <v>-0.11161699</v>
      </c>
      <c r="BA16">
        <v>0.12273836</v>
      </c>
      <c r="BB16">
        <v>-0.12241427000000001</v>
      </c>
      <c r="BC16">
        <v>-9.0884103999999993E-2</v>
      </c>
      <c r="BD16">
        <v>-0.15626161999999999</v>
      </c>
      <c r="BE16">
        <v>1.6143930000000001E-2</v>
      </c>
      <c r="BF16">
        <v>0.17069161999999999</v>
      </c>
      <c r="BG16">
        <v>2.2843820000000001E-2</v>
      </c>
      <c r="BH16">
        <v>8.0460779999999996E-2</v>
      </c>
      <c r="BI16">
        <v>0.15113083999999999</v>
      </c>
      <c r="BJ16">
        <v>0.12197141</v>
      </c>
      <c r="BK16">
        <v>-7.0567000000000005E-2</v>
      </c>
      <c r="BL16">
        <v>-0.10389842000000001</v>
      </c>
      <c r="BM16">
        <v>-4.9368059999999998E-2</v>
      </c>
      <c r="BN16">
        <v>0.16392802000000001</v>
      </c>
      <c r="BO16">
        <v>-5.5583081999999999E-2</v>
      </c>
      <c r="BP16">
        <v>-1.9516714000000001E-2</v>
      </c>
      <c r="BQ16">
        <v>-4.4854544000000003E-2</v>
      </c>
      <c r="BR16">
        <v>-4.2856039999999998E-2</v>
      </c>
      <c r="BS16">
        <v>7.8180544000000005E-2</v>
      </c>
      <c r="BT16">
        <v>-0.15701476</v>
      </c>
      <c r="BU16">
        <v>8.4243170000000006E-2</v>
      </c>
      <c r="BV16">
        <v>-0.14237828999999999</v>
      </c>
      <c r="BW16">
        <v>0.16341375999999999</v>
      </c>
      <c r="BX16">
        <v>-0.102067925</v>
      </c>
      <c r="BY16">
        <v>-0.1422554</v>
      </c>
      <c r="BZ16">
        <v>-5.9836830000000001E-2</v>
      </c>
      <c r="CA16">
        <v>5.138964E-2</v>
      </c>
      <c r="CB16">
        <v>-0.13695553999999999</v>
      </c>
      <c r="CC16">
        <v>-5.2269536999999998E-2</v>
      </c>
      <c r="CD16">
        <v>-0.15932721999999999</v>
      </c>
      <c r="CE16">
        <v>0.10863349999999999</v>
      </c>
      <c r="CF16">
        <v>8.2348679999999994E-2</v>
      </c>
      <c r="CG16">
        <v>4.6033355999999997E-2</v>
      </c>
      <c r="CH16">
        <v>9.1536469999999995E-2</v>
      </c>
      <c r="CI16">
        <v>-7.3453130000000005E-2</v>
      </c>
      <c r="CJ16">
        <v>9.5994553999999996E-2</v>
      </c>
      <c r="CK16">
        <v>0.119034454</v>
      </c>
      <c r="CL16">
        <v>-6.9536819999999999E-2</v>
      </c>
      <c r="CM16">
        <v>4.4780639999999997E-2</v>
      </c>
      <c r="CN16">
        <v>0.14932516000000001</v>
      </c>
      <c r="CO16">
        <v>-0.115883246</v>
      </c>
      <c r="CP16">
        <v>-0.12591823999999999</v>
      </c>
      <c r="CQ16">
        <v>-0.10780236</v>
      </c>
      <c r="CR16">
        <v>7.6112516000000005E-2</v>
      </c>
      <c r="CS16">
        <v>-8.6243144999999993E-2</v>
      </c>
      <c r="CT16">
        <v>-6.6849589999999999E-3</v>
      </c>
      <c r="CU16">
        <v>6.4991720000000003E-2</v>
      </c>
      <c r="CV16">
        <v>-6.7327109999999996E-2</v>
      </c>
      <c r="CW16">
        <v>1.4350909E-2</v>
      </c>
      <c r="CX16">
        <v>-4.8293932999999997E-2</v>
      </c>
      <c r="CY16">
        <v>-5.4628104000000004E-3</v>
      </c>
      <c r="CZ16">
        <v>0.14503927999999999</v>
      </c>
      <c r="DA16">
        <v>-2.5186099000000001E-3</v>
      </c>
      <c r="DB16">
        <v>-4.5963950000000003E-2</v>
      </c>
      <c r="DC16">
        <v>-8.9855649999999995E-2</v>
      </c>
      <c r="DD16">
        <v>1.8931090000000001E-2</v>
      </c>
      <c r="DE16">
        <v>-0.1358549</v>
      </c>
      <c r="DF16">
        <v>-0.12785342</v>
      </c>
      <c r="DG16">
        <v>0.15313247999999999</v>
      </c>
      <c r="DH16">
        <v>-1.3253302E-4</v>
      </c>
      <c r="DI16">
        <v>-2.3490988000000001E-2</v>
      </c>
      <c r="DJ16">
        <v>3.2176509999999998E-2</v>
      </c>
      <c r="DK16">
        <v>6.3953140000000006E-2</v>
      </c>
      <c r="DL16">
        <v>8.6391634999999994E-2</v>
      </c>
      <c r="DM16">
        <v>3.3560554999999999E-2</v>
      </c>
      <c r="DN16">
        <v>0.15155072999999999</v>
      </c>
      <c r="DO16">
        <v>8.4358340000000004E-2</v>
      </c>
      <c r="DP16">
        <v>8.4753275000000003E-2</v>
      </c>
      <c r="DQ16">
        <v>5.2508995000000003E-2</v>
      </c>
      <c r="DR16">
        <v>-8.0640069999999994E-2</v>
      </c>
      <c r="DS16">
        <v>0.14164752</v>
      </c>
      <c r="DT16">
        <v>5.2269665000000002E-4</v>
      </c>
      <c r="DU16">
        <v>3.4515249999999997E-2</v>
      </c>
      <c r="DV16">
        <v>6.346926E-2</v>
      </c>
      <c r="DW16">
        <v>0.11754798</v>
      </c>
      <c r="DX16">
        <v>-6.516885E-2</v>
      </c>
      <c r="DY16">
        <v>-7.9044699999999996E-2</v>
      </c>
      <c r="DZ16">
        <v>2.1556725999999998E-2</v>
      </c>
    </row>
    <row r="17" spans="1:130" x14ac:dyDescent="0.3">
      <c r="A17">
        <f>Board!$C$3</f>
        <v>0</v>
      </c>
      <c r="C17">
        <v>8.3668045999999996E-2</v>
      </c>
      <c r="D17">
        <v>-6.6944169999999997E-2</v>
      </c>
      <c r="E17">
        <v>9.1837639999999998E-2</v>
      </c>
      <c r="F17">
        <v>-9.0586299999999998E-3</v>
      </c>
      <c r="G17">
        <v>5.0213824999999997E-2</v>
      </c>
      <c r="H17">
        <v>-5.9499357000000003E-2</v>
      </c>
      <c r="I17">
        <v>-0.16835538</v>
      </c>
      <c r="J17">
        <v>-5.5031485999999998E-2</v>
      </c>
      <c r="K17">
        <v>-9.2076749999999999E-2</v>
      </c>
      <c r="L17">
        <v>0.18782160000000001</v>
      </c>
      <c r="M17">
        <v>6.7112599999999994E-2</v>
      </c>
      <c r="N17">
        <v>-0.15509972999999999</v>
      </c>
      <c r="O17">
        <v>0.13999096999999999</v>
      </c>
      <c r="P17">
        <v>1.2987537E-2</v>
      </c>
      <c r="Q17">
        <v>-1.6954212999999999E-2</v>
      </c>
      <c r="R17">
        <v>-0.12125488</v>
      </c>
      <c r="S17">
        <v>-2.4358371E-2</v>
      </c>
      <c r="T17">
        <v>0.17172403999999999</v>
      </c>
      <c r="U17">
        <v>-9.8320565999999998E-2</v>
      </c>
      <c r="V17">
        <v>-1.6794001999999999E-2</v>
      </c>
      <c r="W17">
        <v>0.13020761</v>
      </c>
      <c r="X17">
        <v>-7.7713499999999998E-3</v>
      </c>
      <c r="Y17">
        <v>-4.8176496999999999E-2</v>
      </c>
      <c r="Z17">
        <v>-2.2678507000000001E-2</v>
      </c>
      <c r="AA17">
        <v>8.1060640000000003E-2</v>
      </c>
      <c r="AB17">
        <v>-3.8114242E-2</v>
      </c>
      <c r="AC17">
        <v>-3.3810657000000001E-2</v>
      </c>
      <c r="AD17">
        <v>8.1951789999999997E-2</v>
      </c>
      <c r="AE17">
        <v>-0.18612154</v>
      </c>
      <c r="AF17">
        <v>2.2831520000000001E-3</v>
      </c>
      <c r="AG17">
        <v>-9.1484880000000005E-2</v>
      </c>
      <c r="AH17">
        <v>1.3140476999999999E-2</v>
      </c>
      <c r="AI17">
        <v>3.0638269999999999E-2</v>
      </c>
      <c r="AJ17">
        <v>8.5443489999999997E-2</v>
      </c>
      <c r="AK17">
        <v>0.118478924</v>
      </c>
      <c r="AL17">
        <v>2.7018839999999999E-2</v>
      </c>
      <c r="AM17">
        <v>-0.11153892999999999</v>
      </c>
      <c r="AN17">
        <v>8.3108860000000007E-2</v>
      </c>
      <c r="AO17">
        <v>0.10856973</v>
      </c>
      <c r="AP17">
        <v>4.8830967000000003E-2</v>
      </c>
      <c r="AQ17">
        <v>1.6864371999999999E-2</v>
      </c>
      <c r="AR17">
        <v>3.3081368E-2</v>
      </c>
      <c r="AS17">
        <v>-0.16429336</v>
      </c>
      <c r="AT17">
        <v>0.17391493999999999</v>
      </c>
      <c r="AU17">
        <v>3.5641092999999999E-2</v>
      </c>
      <c r="AV17">
        <v>-0.13681851</v>
      </c>
      <c r="AW17">
        <v>7.6673699999999997E-2</v>
      </c>
      <c r="AX17">
        <v>-0.11769285</v>
      </c>
      <c r="AY17">
        <v>-0.12738189</v>
      </c>
      <c r="AZ17">
        <v>-0.1162641</v>
      </c>
      <c r="BA17">
        <v>6.6569243000000004E-3</v>
      </c>
      <c r="BB17">
        <v>-8.3959610000000004E-3</v>
      </c>
      <c r="BC17">
        <v>0.15610830000000001</v>
      </c>
      <c r="BD17">
        <v>1.9000433000000001E-2</v>
      </c>
      <c r="BE17">
        <v>0.1615762</v>
      </c>
      <c r="BF17">
        <v>-5.9137769999999999E-2</v>
      </c>
      <c r="BG17">
        <v>-0.1222273</v>
      </c>
      <c r="BH17">
        <v>-0.14397689999999999</v>
      </c>
      <c r="BI17">
        <v>0.15442158</v>
      </c>
      <c r="BJ17">
        <v>0.10282978</v>
      </c>
      <c r="BK17">
        <v>-3.5099704000000002E-2</v>
      </c>
      <c r="BL17">
        <v>0.111138664</v>
      </c>
      <c r="BM17">
        <v>-4.2506481999999998E-2</v>
      </c>
      <c r="BN17">
        <v>-5.9004187999999999E-2</v>
      </c>
      <c r="BO17">
        <v>9.2978089999999999E-2</v>
      </c>
      <c r="BP17">
        <v>0.15749882000000001</v>
      </c>
      <c r="BQ17">
        <v>0.15465455</v>
      </c>
      <c r="BR17">
        <v>-6.6415780000000002E-4</v>
      </c>
      <c r="BS17">
        <v>-4.3965415000000001E-3</v>
      </c>
      <c r="BT17">
        <v>-6.4031749999999998E-2</v>
      </c>
      <c r="BU17">
        <v>5.7557400000000002E-2</v>
      </c>
      <c r="BV17">
        <v>0.15428022999999999</v>
      </c>
      <c r="BW17">
        <v>0.15321957999999999</v>
      </c>
      <c r="BX17">
        <v>9.3061550000000007E-2</v>
      </c>
      <c r="BY17">
        <v>4.3098703000000002E-2</v>
      </c>
      <c r="BZ17">
        <v>-4.5430011999999999E-2</v>
      </c>
      <c r="CA17">
        <v>1.9970330000000001E-2</v>
      </c>
      <c r="CB17">
        <v>0.20077139999999999</v>
      </c>
      <c r="CC17">
        <v>0.12665288</v>
      </c>
      <c r="CD17">
        <v>-5.5172270000000002E-2</v>
      </c>
      <c r="CE17">
        <v>-3.1514359999999998E-2</v>
      </c>
      <c r="CF17">
        <v>8.6280376000000006E-2</v>
      </c>
      <c r="CG17">
        <v>8.7941969999999994E-2</v>
      </c>
      <c r="CH17">
        <v>-1.4274413999999999E-2</v>
      </c>
      <c r="CI17">
        <v>4.9991193000000003E-3</v>
      </c>
      <c r="CJ17">
        <v>-0.101233855</v>
      </c>
      <c r="CK17">
        <v>-3.2332297000000003E-2</v>
      </c>
      <c r="CL17">
        <v>0.16726627999999999</v>
      </c>
      <c r="CM17">
        <v>3.8497864999999999E-2</v>
      </c>
      <c r="CN17">
        <v>8.7989490000000004E-3</v>
      </c>
      <c r="CO17">
        <v>0.12566023000000001</v>
      </c>
      <c r="CP17">
        <v>9.4137189999999996E-2</v>
      </c>
      <c r="CQ17">
        <v>4.6972666000000003E-2</v>
      </c>
      <c r="CR17">
        <v>-9.6009776000000005E-2</v>
      </c>
      <c r="CS17">
        <v>3.1999119999999999E-2</v>
      </c>
      <c r="CT17">
        <v>5.9703371999999998E-2</v>
      </c>
      <c r="CU17">
        <v>7.8902760000000002E-2</v>
      </c>
      <c r="CV17">
        <v>-3.6643290000000002E-2</v>
      </c>
      <c r="CW17">
        <v>0.10322791000000001</v>
      </c>
      <c r="CX17">
        <v>-1.069994E-2</v>
      </c>
      <c r="CY17">
        <v>6.183549E-3</v>
      </c>
      <c r="CZ17">
        <v>-6.6499669999999997E-2</v>
      </c>
      <c r="DA17">
        <v>-1.9991585999999999E-2</v>
      </c>
      <c r="DB17">
        <v>0.12824865999999999</v>
      </c>
      <c r="DC17">
        <v>-7.1495989999999995E-2</v>
      </c>
      <c r="DD17">
        <v>4.4986433999999999E-2</v>
      </c>
      <c r="DE17">
        <v>7.6282459999999996E-2</v>
      </c>
      <c r="DF17">
        <v>3.1076102000000001E-2</v>
      </c>
      <c r="DG17">
        <v>-0.10731151999999999</v>
      </c>
      <c r="DH17">
        <v>-9.9543469999999995E-2</v>
      </c>
      <c r="DI17">
        <v>-3.7215407999999998E-2</v>
      </c>
      <c r="DJ17">
        <v>2.3863592999999999E-2</v>
      </c>
      <c r="DK17">
        <v>3.5843957000000003E-2</v>
      </c>
      <c r="DL17">
        <v>5.5557057E-2</v>
      </c>
      <c r="DM17">
        <v>9.6559584000000004E-2</v>
      </c>
      <c r="DN17">
        <v>0.12896717999999999</v>
      </c>
      <c r="DO17">
        <v>-0.10293018</v>
      </c>
      <c r="DP17">
        <v>-7.2812824999999998E-2</v>
      </c>
      <c r="DQ17">
        <v>0.16188060000000001</v>
      </c>
      <c r="DR17">
        <v>-8.2783300000000004E-2</v>
      </c>
      <c r="DS17">
        <v>-5.5404241999999999E-2</v>
      </c>
      <c r="DT17">
        <v>-0.17399105000000001</v>
      </c>
      <c r="DU17">
        <v>2.5931645E-2</v>
      </c>
      <c r="DV17">
        <v>0.11068741999999999</v>
      </c>
      <c r="DW17">
        <v>0.19138321</v>
      </c>
      <c r="DX17">
        <v>9.5644765000000007E-2</v>
      </c>
      <c r="DY17">
        <v>-6.4018039999999998E-2</v>
      </c>
      <c r="DZ17">
        <v>3.6709609999999997E-2</v>
      </c>
    </row>
    <row r="18" spans="1:130" x14ac:dyDescent="0.3">
      <c r="A18">
        <f>Board!$D$3</f>
        <v>0</v>
      </c>
      <c r="C18">
        <v>0.37719390000000003</v>
      </c>
      <c r="D18">
        <v>-0.10143487</v>
      </c>
      <c r="E18">
        <v>0.13153008999999999</v>
      </c>
      <c r="F18">
        <v>-0.17736697000000001</v>
      </c>
      <c r="G18">
        <v>-7.3922580000000002E-2</v>
      </c>
      <c r="H18">
        <v>-1.1740954E-2</v>
      </c>
      <c r="I18">
        <v>-0.25934803000000001</v>
      </c>
      <c r="J18">
        <v>0.16794679000000001</v>
      </c>
      <c r="K18">
        <v>6.8755730000000001E-2</v>
      </c>
      <c r="L18">
        <v>-0.10509726</v>
      </c>
      <c r="M18">
        <v>3.8974814000000003E-2</v>
      </c>
      <c r="N18">
        <v>9.5548480000000005E-2</v>
      </c>
      <c r="O18">
        <v>-2.3830328000000001E-2</v>
      </c>
      <c r="P18">
        <v>-8.7773669999999998E-2</v>
      </c>
      <c r="Q18">
        <v>0.43087855000000003</v>
      </c>
      <c r="R18">
        <v>-0.10292259600000001</v>
      </c>
      <c r="S18">
        <v>9.1747140000000005E-3</v>
      </c>
      <c r="T18">
        <v>-0.11650669600000001</v>
      </c>
      <c r="U18">
        <v>-4.9126677000000001E-2</v>
      </c>
      <c r="V18">
        <v>0.26424565999999999</v>
      </c>
      <c r="W18">
        <v>0.11850765000000001</v>
      </c>
      <c r="X18">
        <v>-1.3143092E-2</v>
      </c>
      <c r="Y18">
        <v>6.6500970000000006E-2</v>
      </c>
      <c r="Z18">
        <v>-5.7769734000000003E-2</v>
      </c>
      <c r="AA18">
        <v>0.16388857000000001</v>
      </c>
      <c r="AB18">
        <v>0.33956673999999998</v>
      </c>
      <c r="AC18">
        <v>0.13171473</v>
      </c>
      <c r="AD18">
        <v>0.20146832000000001</v>
      </c>
      <c r="AE18">
        <v>2.23883E-2</v>
      </c>
      <c r="AF18">
        <v>-7.7294210000000002E-2</v>
      </c>
      <c r="AG18">
        <v>-0.20623401</v>
      </c>
      <c r="AH18">
        <v>0.18788442</v>
      </c>
      <c r="AI18">
        <v>-0.10365289</v>
      </c>
      <c r="AJ18">
        <v>3.1250486999999999E-3</v>
      </c>
      <c r="AK18">
        <v>0.10479239999999999</v>
      </c>
      <c r="AL18">
        <v>0.28398364999999998</v>
      </c>
      <c r="AM18">
        <v>-8.0123829999999993E-2</v>
      </c>
      <c r="AN18">
        <v>0.11511687</v>
      </c>
      <c r="AO18">
        <v>-6.4636215999999996E-2</v>
      </c>
      <c r="AP18">
        <v>6.6371780000000005E-2</v>
      </c>
      <c r="AQ18">
        <v>-0.27488620000000002</v>
      </c>
      <c r="AR18">
        <v>-6.4139630000000003E-2</v>
      </c>
      <c r="AS18">
        <v>-0.12176550999999999</v>
      </c>
      <c r="AT18">
        <v>5.6509636000000004E-3</v>
      </c>
      <c r="AU18">
        <v>-3.2170444999999999E-2</v>
      </c>
      <c r="AV18">
        <v>5.2285369999999998E-2</v>
      </c>
      <c r="AW18">
        <v>5.6185174999999997E-2</v>
      </c>
      <c r="AX18">
        <v>-0.22196547999999999</v>
      </c>
      <c r="AY18">
        <v>-8.9220480000000005E-2</v>
      </c>
      <c r="AZ18">
        <v>0.19191966999999999</v>
      </c>
      <c r="BA18">
        <v>-0.13412572</v>
      </c>
      <c r="BB18">
        <v>-0.23879553000000001</v>
      </c>
      <c r="BC18">
        <v>0.25659057000000002</v>
      </c>
      <c r="BD18">
        <v>-2.4531415000000001E-2</v>
      </c>
      <c r="BE18">
        <v>-0.1368434</v>
      </c>
      <c r="BF18">
        <v>1.8909037E-2</v>
      </c>
      <c r="BG18">
        <v>5.5714055999999998E-2</v>
      </c>
      <c r="BH18">
        <v>0.21231506999999999</v>
      </c>
      <c r="BI18">
        <v>0.17911060000000001</v>
      </c>
      <c r="BJ18">
        <v>-1.3895216E-2</v>
      </c>
      <c r="BK18">
        <v>-3.4514855999999997E-2</v>
      </c>
      <c r="BL18">
        <v>0.23028196000000001</v>
      </c>
      <c r="BM18">
        <v>-0.13670199999999999</v>
      </c>
      <c r="BN18">
        <v>0.1161485</v>
      </c>
      <c r="BO18">
        <v>0.26682523000000002</v>
      </c>
      <c r="BP18">
        <v>-7.5832800000000006E-2</v>
      </c>
      <c r="BQ18">
        <v>0.40753040000000001</v>
      </c>
      <c r="BR18">
        <v>-9.9642835999999999E-2</v>
      </c>
      <c r="BS18">
        <v>-5.3565606000000002E-2</v>
      </c>
      <c r="BT18">
        <v>2.6164260000000002E-2</v>
      </c>
      <c r="BU18">
        <v>-0.14703706999999999</v>
      </c>
      <c r="BV18">
        <v>6.0574244999999999E-2</v>
      </c>
      <c r="BW18">
        <v>0.38061517</v>
      </c>
      <c r="BX18">
        <v>-0.25356637999999998</v>
      </c>
      <c r="BY18">
        <v>3.2418054000000002E-2</v>
      </c>
      <c r="BZ18">
        <v>0.14142534000000001</v>
      </c>
      <c r="CA18">
        <v>-0.14148694000000001</v>
      </c>
      <c r="CB18">
        <v>0.32598090000000002</v>
      </c>
      <c r="CC18">
        <v>0.26579353</v>
      </c>
      <c r="CD18">
        <v>0.26715547000000001</v>
      </c>
      <c r="CE18">
        <v>8.4678635000000002E-2</v>
      </c>
      <c r="CF18">
        <v>0.27912110000000001</v>
      </c>
      <c r="CG18">
        <v>0.17810823000000001</v>
      </c>
      <c r="CH18">
        <v>-3.1083189000000001E-2</v>
      </c>
      <c r="CI18">
        <v>0.17186372</v>
      </c>
      <c r="CJ18">
        <v>-0.15667427</v>
      </c>
      <c r="CK18">
        <v>-0.17488106</v>
      </c>
      <c r="CL18">
        <v>-4.8191289999999998E-2</v>
      </c>
      <c r="CM18">
        <v>-3.9743889999999997E-2</v>
      </c>
      <c r="CN18">
        <v>0.20164229</v>
      </c>
      <c r="CO18">
        <v>9.0841889999999995E-2</v>
      </c>
      <c r="CP18">
        <v>0.21854924000000001</v>
      </c>
      <c r="CQ18">
        <v>-4.6799227999999998E-2</v>
      </c>
      <c r="CR18">
        <v>4.8027027E-2</v>
      </c>
      <c r="CS18">
        <v>0.27176893000000002</v>
      </c>
      <c r="CT18">
        <v>0.12131682000000001</v>
      </c>
      <c r="CU18">
        <v>0.18311917999999999</v>
      </c>
      <c r="CV18">
        <v>-2.9074833000000001E-2</v>
      </c>
      <c r="CW18">
        <v>3.9166573000000003E-2</v>
      </c>
      <c r="CX18">
        <v>3.6065930000000003E-2</v>
      </c>
      <c r="CY18">
        <v>-0.19594759</v>
      </c>
      <c r="CZ18">
        <v>9.2653564999999993E-2</v>
      </c>
      <c r="DA18">
        <v>-0.30890163999999998</v>
      </c>
      <c r="DB18">
        <v>1.2297476E-2</v>
      </c>
      <c r="DC18">
        <v>-4.7000226999999997E-3</v>
      </c>
      <c r="DD18">
        <v>-9.8090259999999999E-2</v>
      </c>
      <c r="DE18">
        <v>0.109364904</v>
      </c>
      <c r="DF18">
        <v>-4.3050084000000002E-2</v>
      </c>
      <c r="DG18">
        <v>5.1458783000000001E-2</v>
      </c>
      <c r="DH18">
        <v>9.6561540000000001E-2</v>
      </c>
      <c r="DI18">
        <v>-0.18077067999999999</v>
      </c>
      <c r="DJ18">
        <v>-0.10437539</v>
      </c>
      <c r="DK18">
        <v>8.2075499999999996E-2</v>
      </c>
      <c r="DL18">
        <v>-0.13858503</v>
      </c>
      <c r="DM18">
        <v>-2.8325969999999999E-2</v>
      </c>
      <c r="DN18">
        <v>0.16241468000000001</v>
      </c>
      <c r="DO18">
        <v>0.1373723</v>
      </c>
      <c r="DP18">
        <v>0.13193789</v>
      </c>
      <c r="DQ18">
        <v>-0.12725919999999999</v>
      </c>
      <c r="DR18">
        <v>2.5074452000000001E-2</v>
      </c>
      <c r="DS18">
        <v>0.29176239999999998</v>
      </c>
      <c r="DT18">
        <v>0.10615411399999999</v>
      </c>
      <c r="DU18">
        <v>-0.11679472</v>
      </c>
      <c r="DV18">
        <v>-0.20520562000000001</v>
      </c>
      <c r="DW18">
        <v>-4.0939969999999999E-2</v>
      </c>
      <c r="DX18">
        <v>0.226267</v>
      </c>
      <c r="DY18">
        <v>5.9780154000000002E-2</v>
      </c>
      <c r="DZ18">
        <v>0.24108764999999999</v>
      </c>
    </row>
    <row r="19" spans="1:130" x14ac:dyDescent="0.3">
      <c r="A19">
        <f>Board!$E$3</f>
        <v>0</v>
      </c>
      <c r="C19">
        <v>0.18361538999999999</v>
      </c>
      <c r="D19">
        <v>-0.23356326999999999</v>
      </c>
      <c r="E19">
        <v>0.13971307999999999</v>
      </c>
      <c r="F19">
        <v>0.18698472999999999</v>
      </c>
      <c r="G19">
        <v>-0.14217134000000001</v>
      </c>
      <c r="H19">
        <v>0.24700953</v>
      </c>
      <c r="I19">
        <v>-5.1286770000000002E-2</v>
      </c>
      <c r="J19">
        <v>9.5267270000000001E-2</v>
      </c>
      <c r="K19">
        <v>0.16278064</v>
      </c>
      <c r="L19">
        <v>-9.4410569999999999E-2</v>
      </c>
      <c r="M19">
        <v>-4.2664090000000002E-2</v>
      </c>
      <c r="N19">
        <v>0.12056496</v>
      </c>
      <c r="O19">
        <v>3.3659399999999999E-2</v>
      </c>
      <c r="P19">
        <v>-0.27921974999999999</v>
      </c>
      <c r="Q19">
        <v>0.14919453999999999</v>
      </c>
      <c r="R19">
        <v>5.6298862999999998E-2</v>
      </c>
      <c r="S19">
        <v>-0.34602493000000001</v>
      </c>
      <c r="T19">
        <v>-8.9882100000000006E-2</v>
      </c>
      <c r="U19">
        <v>-8.3759780000000006E-2</v>
      </c>
      <c r="V19">
        <v>0.14568311</v>
      </c>
      <c r="W19">
        <v>0.14361203</v>
      </c>
      <c r="X19">
        <v>-0.16218278</v>
      </c>
      <c r="Y19">
        <v>-1.5041244E-2</v>
      </c>
      <c r="Z19">
        <v>0.110900834</v>
      </c>
      <c r="AA19">
        <v>4.3916770000000001E-2</v>
      </c>
      <c r="AB19">
        <v>0.13961751999999999</v>
      </c>
      <c r="AC19">
        <v>0.23544714999999999</v>
      </c>
      <c r="AD19">
        <v>5.7295292999999997E-2</v>
      </c>
      <c r="AE19">
        <v>6.7474699999999999E-2</v>
      </c>
      <c r="AF19">
        <v>-0.26304497999999998</v>
      </c>
      <c r="AG19">
        <v>-4.9832016E-2</v>
      </c>
      <c r="AH19">
        <v>8.6150539999999998E-2</v>
      </c>
      <c r="AI19">
        <v>-0.21350779</v>
      </c>
      <c r="AJ19">
        <v>-0.13615653999999999</v>
      </c>
      <c r="AK19">
        <v>0.33836746000000001</v>
      </c>
      <c r="AL19">
        <v>8.9329265000000005E-2</v>
      </c>
      <c r="AM19">
        <v>-1.4238427999999999E-2</v>
      </c>
      <c r="AN19">
        <v>-0.20422485000000001</v>
      </c>
      <c r="AO19">
        <v>-0.17049644999999999</v>
      </c>
      <c r="AP19">
        <v>7.9612753999999994E-2</v>
      </c>
      <c r="AQ19">
        <v>-0.162964</v>
      </c>
      <c r="AR19">
        <v>-0.16893180999999999</v>
      </c>
      <c r="AS19">
        <v>-9.6386336000000003E-2</v>
      </c>
      <c r="AT19">
        <v>0.33927098</v>
      </c>
      <c r="AU19">
        <v>2.8281199999999999E-2</v>
      </c>
      <c r="AV19">
        <v>-7.2800820000000002E-2</v>
      </c>
      <c r="AW19">
        <v>-0.15688294</v>
      </c>
      <c r="AX19">
        <v>-0.10972695</v>
      </c>
      <c r="AY19">
        <v>-0.17140736000000001</v>
      </c>
      <c r="AZ19">
        <v>5.7236153999999997E-2</v>
      </c>
      <c r="BA19">
        <v>-4.957951E-2</v>
      </c>
      <c r="BB19">
        <v>4.3881845000000003E-2</v>
      </c>
      <c r="BC19">
        <v>0.15999295999999999</v>
      </c>
      <c r="BD19">
        <v>3.9977785000000002E-2</v>
      </c>
      <c r="BE19">
        <v>-0.18219535000000001</v>
      </c>
      <c r="BF19">
        <v>-5.0689127E-2</v>
      </c>
      <c r="BG19">
        <v>-3.0478198000000001E-2</v>
      </c>
      <c r="BH19">
        <v>2.0639538999999998E-2</v>
      </c>
      <c r="BI19">
        <v>0.17953673000000001</v>
      </c>
      <c r="BJ19">
        <v>-8.6326815000000001E-2</v>
      </c>
      <c r="BK19">
        <v>-0.37503462999999998</v>
      </c>
      <c r="BL19">
        <v>5.8631851999999998E-2</v>
      </c>
      <c r="BM19">
        <v>-0.1342236</v>
      </c>
      <c r="BN19">
        <v>-4.3834520000000004E-3</v>
      </c>
      <c r="BO19">
        <v>0.15642809999999999</v>
      </c>
      <c r="BP19">
        <v>-0.1757311</v>
      </c>
      <c r="BQ19">
        <v>0.37309520000000002</v>
      </c>
      <c r="BR19">
        <v>-0.39098480000000002</v>
      </c>
      <c r="BS19">
        <v>0.28984769999999999</v>
      </c>
      <c r="BT19">
        <v>0.39254987000000002</v>
      </c>
      <c r="BU19">
        <v>-0.37560021999999998</v>
      </c>
      <c r="BV19">
        <v>-4.073396E-2</v>
      </c>
      <c r="BW19">
        <v>0.35532752000000001</v>
      </c>
      <c r="BX19">
        <v>-0.41892522999999998</v>
      </c>
      <c r="BY19">
        <v>3.242283E-2</v>
      </c>
      <c r="BZ19">
        <v>6.9480896E-2</v>
      </c>
      <c r="CA19">
        <v>-0.32990360000000002</v>
      </c>
      <c r="CB19">
        <v>0.12630668</v>
      </c>
      <c r="CC19">
        <v>0.18021641999999999</v>
      </c>
      <c r="CD19">
        <v>7.9837605000000006E-2</v>
      </c>
      <c r="CE19">
        <v>0.22378735</v>
      </c>
      <c r="CF19">
        <v>0.28504180000000001</v>
      </c>
      <c r="CG19">
        <v>0.18433009</v>
      </c>
      <c r="CH19">
        <v>-0.17878674</v>
      </c>
      <c r="CI19">
        <v>0.1456799</v>
      </c>
      <c r="CJ19">
        <v>-0.18336795</v>
      </c>
      <c r="CK19">
        <v>-0.41417261999999999</v>
      </c>
      <c r="CL19">
        <v>7.0360885E-3</v>
      </c>
      <c r="CM19">
        <v>-0.26226880000000002</v>
      </c>
      <c r="CN19">
        <v>0.20754309000000001</v>
      </c>
      <c r="CO19">
        <v>-8.2587690000000005E-2</v>
      </c>
      <c r="CP19">
        <v>4.7246839999999998E-2</v>
      </c>
      <c r="CQ19">
        <v>4.3090265000000003E-2</v>
      </c>
      <c r="CR19">
        <v>5.9775874E-2</v>
      </c>
      <c r="CS19">
        <v>0.13307798000000001</v>
      </c>
      <c r="CT19">
        <v>0.14541245999999999</v>
      </c>
      <c r="CU19">
        <v>-8.7856519999999994E-2</v>
      </c>
      <c r="CV19">
        <v>-0.34324320000000003</v>
      </c>
      <c r="CW19">
        <v>-5.9622059999999998E-2</v>
      </c>
      <c r="CX19">
        <v>-2.9801516E-2</v>
      </c>
      <c r="CY19">
        <v>-0.30040017000000002</v>
      </c>
      <c r="CZ19">
        <v>-6.8731410000000007E-2</v>
      </c>
      <c r="DA19">
        <v>-0.16574005999999999</v>
      </c>
      <c r="DB19">
        <v>-6.4871624000000003E-2</v>
      </c>
      <c r="DC19">
        <v>1.2659485999999999E-2</v>
      </c>
      <c r="DD19">
        <v>-0.29833310000000002</v>
      </c>
      <c r="DE19">
        <v>0.12113532</v>
      </c>
      <c r="DF19">
        <v>0.13481246</v>
      </c>
      <c r="DG19">
        <v>-7.4828220000000001E-2</v>
      </c>
      <c r="DH19">
        <v>6.8580163999999999E-3</v>
      </c>
      <c r="DI19">
        <v>-7.7513960000000007E-2</v>
      </c>
      <c r="DJ19">
        <v>4.7775212999999997E-2</v>
      </c>
      <c r="DK19">
        <v>-0.13249077000000001</v>
      </c>
      <c r="DL19">
        <v>-0.13332939999999999</v>
      </c>
      <c r="DM19">
        <v>-6.4842775000000005E-2</v>
      </c>
      <c r="DN19">
        <v>0.23660685000000001</v>
      </c>
      <c r="DO19">
        <v>4.4023654999999998E-3</v>
      </c>
      <c r="DP19">
        <v>0.21625802999999999</v>
      </c>
      <c r="DQ19">
        <v>-2.4319845999999999E-2</v>
      </c>
      <c r="DR19">
        <v>-2.8280002999999999E-3</v>
      </c>
      <c r="DS19">
        <v>5.0107175000000002E-3</v>
      </c>
      <c r="DT19">
        <v>0.13065588</v>
      </c>
      <c r="DU19">
        <v>1.9977580000000001E-3</v>
      </c>
      <c r="DV19">
        <v>-0.20257296999999999</v>
      </c>
      <c r="DW19">
        <v>0.22446585999999999</v>
      </c>
      <c r="DX19">
        <v>0.12745809999999999</v>
      </c>
      <c r="DY19">
        <v>0.25349592999999998</v>
      </c>
      <c r="DZ19">
        <v>0.24706902</v>
      </c>
    </row>
    <row r="20" spans="1:130" x14ac:dyDescent="0.3">
      <c r="A20">
        <f>Board!$F$3</f>
        <v>0</v>
      </c>
      <c r="C20">
        <v>0.17231930000000001</v>
      </c>
      <c r="D20">
        <v>-2.1199703E-2</v>
      </c>
      <c r="E20">
        <v>6.2725425000000001E-2</v>
      </c>
      <c r="F20">
        <v>-0.11246892</v>
      </c>
      <c r="G20">
        <v>-6.2513159999999998E-2</v>
      </c>
      <c r="H20">
        <v>0.20019566999999999</v>
      </c>
      <c r="I20">
        <v>-0.11833059</v>
      </c>
      <c r="J20">
        <v>0.44140676000000001</v>
      </c>
      <c r="K20">
        <v>0.18945834</v>
      </c>
      <c r="L20">
        <v>4.140025E-2</v>
      </c>
      <c r="M20">
        <v>0.11216416</v>
      </c>
      <c r="N20">
        <v>-0.30776635000000002</v>
      </c>
      <c r="O20">
        <v>-0.13581096000000001</v>
      </c>
      <c r="P20">
        <v>-0.49304989999999999</v>
      </c>
      <c r="Q20">
        <v>0.31353223000000002</v>
      </c>
      <c r="R20">
        <v>0.18448538</v>
      </c>
      <c r="S20">
        <v>-0.49399680000000001</v>
      </c>
      <c r="T20">
        <v>7.0847880000000002E-2</v>
      </c>
      <c r="U20">
        <v>-2.3671432999999999E-2</v>
      </c>
      <c r="V20">
        <v>0.2224478</v>
      </c>
      <c r="W20">
        <v>0.20063354</v>
      </c>
      <c r="X20">
        <v>-0.16805692</v>
      </c>
      <c r="Y20">
        <v>1.6476106000000001E-2</v>
      </c>
      <c r="Z20">
        <v>-4.0254563E-2</v>
      </c>
      <c r="AA20">
        <v>0.39100116000000001</v>
      </c>
      <c r="AB20">
        <v>0.15838506999999999</v>
      </c>
      <c r="AC20">
        <v>0.14677451999999999</v>
      </c>
      <c r="AD20">
        <v>-0.10399236000000001</v>
      </c>
      <c r="AE20">
        <v>0.16363426</v>
      </c>
      <c r="AF20">
        <v>-0.40945916999999998</v>
      </c>
      <c r="AG20">
        <v>-0.20622571000000001</v>
      </c>
      <c r="AH20">
        <v>0.21118954000000001</v>
      </c>
      <c r="AI20">
        <v>-1.2533416E-2</v>
      </c>
      <c r="AJ20">
        <v>-1.6378578000000001E-2</v>
      </c>
      <c r="AK20">
        <v>4.7695145000000001E-2</v>
      </c>
      <c r="AL20">
        <v>0.13798921</v>
      </c>
      <c r="AM20">
        <v>-2.4438267999999999E-2</v>
      </c>
      <c r="AN20">
        <v>-4.9410573999999999E-2</v>
      </c>
      <c r="AO20">
        <v>-0.29759163</v>
      </c>
      <c r="AP20">
        <v>0.159859</v>
      </c>
      <c r="AQ20">
        <v>-0.13484931</v>
      </c>
      <c r="AR20">
        <v>-0.34238764999999999</v>
      </c>
      <c r="AS20">
        <v>0.30882831999999999</v>
      </c>
      <c r="AT20">
        <v>-0.36920960000000003</v>
      </c>
      <c r="AU20">
        <v>0.20585555999999999</v>
      </c>
      <c r="AV20">
        <v>-0.43370888000000002</v>
      </c>
      <c r="AW20">
        <v>-5.7641129999999999E-2</v>
      </c>
      <c r="AX20">
        <v>9.2796675999999995E-2</v>
      </c>
      <c r="AY20">
        <v>-4.8394643000000001E-2</v>
      </c>
      <c r="AZ20">
        <v>9.9100019999999997E-2</v>
      </c>
      <c r="BA20">
        <v>9.1134290000000007E-2</v>
      </c>
      <c r="BB20">
        <v>-0.22921464</v>
      </c>
      <c r="BC20">
        <v>0.30292752000000001</v>
      </c>
      <c r="BD20">
        <v>0.14718664000000001</v>
      </c>
      <c r="BE20">
        <v>2.2928381000000001E-2</v>
      </c>
      <c r="BF20">
        <v>-0.17148964</v>
      </c>
      <c r="BG20">
        <v>-0.28815113999999997</v>
      </c>
      <c r="BH20">
        <v>0.29050058000000001</v>
      </c>
      <c r="BI20">
        <v>3.3780209999999998E-2</v>
      </c>
      <c r="BJ20">
        <v>-0.10875963399999999</v>
      </c>
      <c r="BK20">
        <v>-8.4481194999999995E-2</v>
      </c>
      <c r="BL20">
        <v>3.1884886000000001E-2</v>
      </c>
      <c r="BM20">
        <v>-0.11779289</v>
      </c>
      <c r="BN20">
        <v>-5.2238966999999997E-2</v>
      </c>
      <c r="BO20">
        <v>0.19303070999999999</v>
      </c>
      <c r="BP20">
        <v>0.13395831999999999</v>
      </c>
      <c r="BQ20">
        <v>0.30439553000000003</v>
      </c>
      <c r="BR20">
        <v>-0.37084007000000002</v>
      </c>
      <c r="BS20">
        <v>0.30454078000000001</v>
      </c>
      <c r="BT20">
        <v>0.35532710000000001</v>
      </c>
      <c r="BU20">
        <v>-0.40811510000000001</v>
      </c>
      <c r="BV20">
        <v>2.5995838E-2</v>
      </c>
      <c r="BW20">
        <v>1.32242665E-2</v>
      </c>
      <c r="BX20">
        <v>-0.46187279999999997</v>
      </c>
      <c r="BY20">
        <v>-8.4873249999999997E-2</v>
      </c>
      <c r="BZ20">
        <v>-8.4515309999999996E-2</v>
      </c>
      <c r="CA20">
        <v>-6.0964356999999997E-2</v>
      </c>
      <c r="CB20">
        <v>-2.1488579000000001E-2</v>
      </c>
      <c r="CC20">
        <v>0.16000953000000001</v>
      </c>
      <c r="CD20">
        <v>0.25221569999999999</v>
      </c>
      <c r="CE20">
        <v>0.28077015</v>
      </c>
      <c r="CF20">
        <v>9.9450319999999995E-2</v>
      </c>
      <c r="CG20">
        <v>-6.9849759999999995E-4</v>
      </c>
      <c r="CH20">
        <v>0.21965703</v>
      </c>
      <c r="CI20">
        <v>-8.0540314000000002E-2</v>
      </c>
      <c r="CJ20">
        <v>-4.4665664000000001E-2</v>
      </c>
      <c r="CK20">
        <v>-0.26878809999999997</v>
      </c>
      <c r="CL20">
        <v>3.8185403E-2</v>
      </c>
      <c r="CM20">
        <v>-0.11079077</v>
      </c>
      <c r="CN20">
        <v>7.4900045999999998E-2</v>
      </c>
      <c r="CO20">
        <v>0.28125533000000003</v>
      </c>
      <c r="CP20">
        <v>-8.7568219999999992E-3</v>
      </c>
      <c r="CQ20">
        <v>0.11948358000000001</v>
      </c>
      <c r="CR20">
        <v>4.1601489999999998E-2</v>
      </c>
      <c r="CS20">
        <v>0.16404283</v>
      </c>
      <c r="CT20">
        <v>-4.4809966999999999E-2</v>
      </c>
      <c r="CU20">
        <v>2.7548779999999998E-2</v>
      </c>
      <c r="CV20">
        <v>-0.15190111000000001</v>
      </c>
      <c r="CW20">
        <v>-5.3203140000000003E-2</v>
      </c>
      <c r="CX20">
        <v>5.0912767999999997E-2</v>
      </c>
      <c r="CY20">
        <v>-0.2808735</v>
      </c>
      <c r="CZ20">
        <v>-9.8953689999999997E-2</v>
      </c>
      <c r="DA20">
        <v>-0.14900579999999999</v>
      </c>
      <c r="DB20">
        <v>0.18282491000000001</v>
      </c>
      <c r="DC20">
        <v>-0.15944098000000001</v>
      </c>
      <c r="DD20">
        <v>-0.33685619999999999</v>
      </c>
      <c r="DE20">
        <v>0.44445449999999997</v>
      </c>
      <c r="DF20">
        <v>0.24056727999999999</v>
      </c>
      <c r="DG20">
        <v>7.6331889999999999E-2</v>
      </c>
      <c r="DH20">
        <v>0.24989407</v>
      </c>
      <c r="DI20">
        <v>-0.13895774999999999</v>
      </c>
      <c r="DJ20">
        <v>-9.1563610000000004E-2</v>
      </c>
      <c r="DK20">
        <v>0.11951276</v>
      </c>
      <c r="DL20">
        <v>-4.4261355000000002E-2</v>
      </c>
      <c r="DM20">
        <v>-4.8061239999999998E-2</v>
      </c>
      <c r="DN20">
        <v>0.23029295</v>
      </c>
      <c r="DO20">
        <v>0.16110456000000001</v>
      </c>
      <c r="DP20">
        <v>0.16749354999999999</v>
      </c>
      <c r="DQ20">
        <v>-0.20112173</v>
      </c>
      <c r="DR20">
        <v>0.12884725999999999</v>
      </c>
      <c r="DS20">
        <v>1.5652052999999999E-2</v>
      </c>
      <c r="DT20">
        <v>0.28479365000000001</v>
      </c>
      <c r="DU20">
        <v>7.1650859999999997E-2</v>
      </c>
      <c r="DV20">
        <v>-0.31327683000000001</v>
      </c>
      <c r="DW20">
        <v>-0.1520435</v>
      </c>
      <c r="DX20">
        <v>-7.9279480000000006E-3</v>
      </c>
      <c r="DY20">
        <v>0.28173705999999998</v>
      </c>
      <c r="DZ20">
        <v>0.44695508</v>
      </c>
    </row>
    <row r="21" spans="1:130" x14ac:dyDescent="0.3">
      <c r="A21">
        <f>Board!$G$3</f>
        <v>1</v>
      </c>
      <c r="C21">
        <v>0.23213054</v>
      </c>
      <c r="D21">
        <v>-0.20037304</v>
      </c>
      <c r="E21">
        <v>0.13460174</v>
      </c>
      <c r="F21">
        <v>3.2741052999999999E-3</v>
      </c>
      <c r="G21">
        <v>1.00153E-2</v>
      </c>
      <c r="H21">
        <v>0.10898393000000001</v>
      </c>
      <c r="I21">
        <v>-2.6529939999999998E-2</v>
      </c>
      <c r="J21">
        <v>0.22309956</v>
      </c>
      <c r="K21">
        <v>0.14923932000000001</v>
      </c>
      <c r="L21">
        <v>0.14815934</v>
      </c>
      <c r="M21">
        <v>-9.2976030000000001E-2</v>
      </c>
      <c r="N21">
        <v>-0.71314173999999997</v>
      </c>
      <c r="O21">
        <v>7.4604379999999998E-2</v>
      </c>
      <c r="P21">
        <v>-0.39548359999999999</v>
      </c>
      <c r="Q21">
        <v>-4.1822214000000003E-2</v>
      </c>
      <c r="R21">
        <v>0.29773092000000001</v>
      </c>
      <c r="S21">
        <v>-0.59234344999999999</v>
      </c>
      <c r="T21">
        <v>7.7489500000000003E-2</v>
      </c>
      <c r="U21">
        <v>0.31468278</v>
      </c>
      <c r="V21">
        <v>2.7016789999999999E-2</v>
      </c>
      <c r="W21">
        <v>-1.8177075000000001E-2</v>
      </c>
      <c r="X21">
        <v>5.50965E-2</v>
      </c>
      <c r="Y21">
        <v>-0.18714727</v>
      </c>
      <c r="Z21">
        <v>0.12765108</v>
      </c>
      <c r="AA21">
        <v>0.28786980000000001</v>
      </c>
      <c r="AB21">
        <v>2.4630236E-2</v>
      </c>
      <c r="AC21">
        <v>4.7867282999999997E-2</v>
      </c>
      <c r="AD21">
        <v>0.15666854</v>
      </c>
      <c r="AE21">
        <v>0.1164958</v>
      </c>
      <c r="AF21">
        <v>-7.9112804999999994E-2</v>
      </c>
      <c r="AG21">
        <v>-0.14297035</v>
      </c>
      <c r="AH21">
        <v>0.14344503</v>
      </c>
      <c r="AI21">
        <v>7.2608030000000004E-2</v>
      </c>
      <c r="AJ21">
        <v>-7.4988689999999997E-2</v>
      </c>
      <c r="AK21">
        <v>1.9907406999999998E-2</v>
      </c>
      <c r="AL21">
        <v>7.9773620000000003E-2</v>
      </c>
      <c r="AM21">
        <v>7.9874490000000006E-2</v>
      </c>
      <c r="AN21">
        <v>-7.739646E-2</v>
      </c>
      <c r="AO21">
        <v>-0.57647780000000004</v>
      </c>
      <c r="AP21">
        <v>7.4818194000000005E-2</v>
      </c>
      <c r="AQ21">
        <v>-0.12479846</v>
      </c>
      <c r="AR21">
        <v>-0.31138206000000002</v>
      </c>
      <c r="AS21">
        <v>0.27334192000000002</v>
      </c>
      <c r="AT21">
        <v>-0.7614628</v>
      </c>
      <c r="AU21">
        <v>-2.7610470000000002E-2</v>
      </c>
      <c r="AV21">
        <v>-0.42665952000000001</v>
      </c>
      <c r="AW21">
        <v>-0.1022044</v>
      </c>
      <c r="AX21">
        <v>4.6473319999999997E-3</v>
      </c>
      <c r="AY21">
        <v>0.109300174</v>
      </c>
      <c r="AZ21">
        <v>0.16320394999999999</v>
      </c>
      <c r="BA21">
        <v>2.2166188999999999E-2</v>
      </c>
      <c r="BB21">
        <v>-4.4955875999999999E-2</v>
      </c>
      <c r="BC21">
        <v>0.22375170999999999</v>
      </c>
      <c r="BD21">
        <v>9.5626600000000006E-2</v>
      </c>
      <c r="BE21">
        <v>-6.8920869999999995E-2</v>
      </c>
      <c r="BF21">
        <v>-3.7176439999999998E-2</v>
      </c>
      <c r="BG21">
        <v>-0.27664512000000002</v>
      </c>
      <c r="BH21">
        <v>0.13630083000000001</v>
      </c>
      <c r="BI21">
        <v>5.8853015000000002E-2</v>
      </c>
      <c r="BJ21">
        <v>4.4526335E-2</v>
      </c>
      <c r="BK21">
        <v>6.6774E-2</v>
      </c>
      <c r="BL21">
        <v>-0.13823214</v>
      </c>
      <c r="BM21">
        <v>-0.16740416</v>
      </c>
      <c r="BN21">
        <v>1.2358499E-2</v>
      </c>
      <c r="BO21">
        <v>0.15103221999999999</v>
      </c>
      <c r="BP21">
        <v>0.23045157999999999</v>
      </c>
      <c r="BQ21">
        <v>9.6044909999999997E-2</v>
      </c>
      <c r="BR21">
        <v>9.6430085999999998E-2</v>
      </c>
      <c r="BS21">
        <v>0.21764058</v>
      </c>
      <c r="BT21">
        <v>0.14358824000000001</v>
      </c>
      <c r="BU21">
        <v>-0.39613549999999997</v>
      </c>
      <c r="BV21">
        <v>0.1003333</v>
      </c>
      <c r="BW21">
        <v>1.344241E-2</v>
      </c>
      <c r="BX21">
        <v>-0.123728424</v>
      </c>
      <c r="BY21">
        <v>-4.8455764E-3</v>
      </c>
      <c r="BZ21">
        <v>0.10129029000000001</v>
      </c>
      <c r="CA21">
        <v>-7.9209959999999996E-2</v>
      </c>
      <c r="CB21">
        <v>4.3734773999999997E-2</v>
      </c>
      <c r="CC21">
        <v>0.12345673</v>
      </c>
      <c r="CD21">
        <v>0.16246998000000001</v>
      </c>
      <c r="CE21">
        <v>0.41922772000000003</v>
      </c>
      <c r="CF21">
        <v>0.30322957</v>
      </c>
      <c r="CG21">
        <v>0.180115</v>
      </c>
      <c r="CH21">
        <v>0.16112409999999999</v>
      </c>
      <c r="CI21">
        <v>-2.9424670999999999E-2</v>
      </c>
      <c r="CJ21">
        <v>3.8973465999999998E-2</v>
      </c>
      <c r="CK21">
        <v>-0.37174094000000002</v>
      </c>
      <c r="CL21">
        <v>0.15582024999999999</v>
      </c>
      <c r="CM21">
        <v>0.10352098</v>
      </c>
      <c r="CN21">
        <v>-7.3407723999999994E-2</v>
      </c>
      <c r="CO21">
        <v>0.39293650000000002</v>
      </c>
      <c r="CP21">
        <v>-2.7162002000000001E-2</v>
      </c>
      <c r="CQ21">
        <v>4.4295028E-2</v>
      </c>
      <c r="CR21">
        <v>0.10653566</v>
      </c>
      <c r="CS21">
        <v>0.28161433000000002</v>
      </c>
      <c r="CT21">
        <v>4.1096889999999997E-2</v>
      </c>
      <c r="CU21">
        <v>4.3494906000000003E-3</v>
      </c>
      <c r="CV21">
        <v>-0.27466394999999999</v>
      </c>
      <c r="CW21">
        <v>7.9114749999999998E-2</v>
      </c>
      <c r="CX21">
        <v>-5.6848759999999998E-2</v>
      </c>
      <c r="CY21">
        <v>-0.35878995000000002</v>
      </c>
      <c r="CZ21">
        <v>3.2827153999999997E-2</v>
      </c>
      <c r="DA21">
        <v>-0.10355435</v>
      </c>
      <c r="DB21">
        <v>2.2535072999999999E-2</v>
      </c>
      <c r="DC21">
        <v>-1.6584321999999999E-2</v>
      </c>
      <c r="DD21">
        <v>-0.17152092999999999</v>
      </c>
      <c r="DE21">
        <v>0.36473355000000002</v>
      </c>
      <c r="DF21">
        <v>0.15735980999999999</v>
      </c>
      <c r="DG21">
        <v>-0.11901908999999999</v>
      </c>
      <c r="DH21">
        <v>1.9157420000000001E-2</v>
      </c>
      <c r="DI21">
        <v>-9.303372E-2</v>
      </c>
      <c r="DJ21">
        <v>5.1718491999999998E-2</v>
      </c>
      <c r="DK21">
        <v>7.4805189999999994E-2</v>
      </c>
      <c r="DL21">
        <v>-0.13787383</v>
      </c>
      <c r="DM21">
        <v>6.2637540000000005E-2</v>
      </c>
      <c r="DN21">
        <v>0.29329909999999998</v>
      </c>
      <c r="DO21">
        <v>0.10086057</v>
      </c>
      <c r="DP21">
        <v>0.17878413000000001</v>
      </c>
      <c r="DQ21">
        <v>-0.13690226</v>
      </c>
      <c r="DR21">
        <v>-8.9229409999999995E-2</v>
      </c>
      <c r="DS21">
        <v>5.3621393000000003E-2</v>
      </c>
      <c r="DT21">
        <v>4.9372292999999998E-2</v>
      </c>
      <c r="DU21">
        <v>1.8654803000000001E-2</v>
      </c>
      <c r="DV21">
        <v>-0.29937896000000003</v>
      </c>
      <c r="DW21">
        <v>-0.10115546</v>
      </c>
      <c r="DX21">
        <v>1.1107298E-2</v>
      </c>
      <c r="DY21">
        <v>0.1620566</v>
      </c>
      <c r="DZ21">
        <v>0.27857786000000001</v>
      </c>
    </row>
    <row r="22" spans="1:130" x14ac:dyDescent="0.3">
      <c r="A22">
        <f>Board!$H$3</f>
        <v>1</v>
      </c>
      <c r="C22">
        <v>6.3730739999999994E-2</v>
      </c>
      <c r="D22">
        <v>1.1157111000000001E-2</v>
      </c>
      <c r="E22">
        <v>1.1007393000000001E-2</v>
      </c>
      <c r="F22">
        <v>6.5809889999999998E-3</v>
      </c>
      <c r="G22">
        <v>0.14813374000000001</v>
      </c>
      <c r="H22">
        <v>0.31890970000000002</v>
      </c>
      <c r="I22">
        <v>-6.4082003999999998E-2</v>
      </c>
      <c r="J22">
        <v>1.8074065E-2</v>
      </c>
      <c r="K22">
        <v>0.11196892</v>
      </c>
      <c r="L22">
        <v>2.6884929000000001E-3</v>
      </c>
      <c r="M22">
        <v>0.1485272</v>
      </c>
      <c r="N22">
        <v>-0.13186529999999999</v>
      </c>
      <c r="O22">
        <v>-9.1675569999999998E-2</v>
      </c>
      <c r="P22">
        <v>-0.35336757000000002</v>
      </c>
      <c r="Q22">
        <v>-8.6631600000000003E-2</v>
      </c>
      <c r="R22">
        <v>-5.0397348000000002E-2</v>
      </c>
      <c r="S22">
        <v>-0.27516422000000001</v>
      </c>
      <c r="T22">
        <v>0.103744216</v>
      </c>
      <c r="U22">
        <v>6.1106069999999998E-2</v>
      </c>
      <c r="V22">
        <v>8.3757980000000003E-3</v>
      </c>
      <c r="W22">
        <v>9.9089040000000003E-2</v>
      </c>
      <c r="X22">
        <v>-1.8576349999999998E-2</v>
      </c>
      <c r="Y22">
        <v>4.2663055999999998E-2</v>
      </c>
      <c r="Z22">
        <v>0.12962352999999999</v>
      </c>
      <c r="AA22">
        <v>3.7983265000000002E-2</v>
      </c>
      <c r="AB22">
        <v>0.10479974</v>
      </c>
      <c r="AC22">
        <v>0.14739459999999999</v>
      </c>
      <c r="AD22">
        <v>-7.8656695999999998E-2</v>
      </c>
      <c r="AE22">
        <v>0.19487848999999999</v>
      </c>
      <c r="AF22">
        <v>0.13073988</v>
      </c>
      <c r="AG22">
        <v>2.4709512999999999E-2</v>
      </c>
      <c r="AH22">
        <v>0.10780151</v>
      </c>
      <c r="AI22">
        <v>0.10182938</v>
      </c>
      <c r="AJ22">
        <v>-0.13162968</v>
      </c>
      <c r="AK22">
        <v>4.1406058000000003E-2</v>
      </c>
      <c r="AL22">
        <v>-0.37857085000000001</v>
      </c>
      <c r="AM22">
        <v>0.18520612</v>
      </c>
      <c r="AN22">
        <v>-0.20011681000000001</v>
      </c>
      <c r="AO22">
        <v>-0.3966113</v>
      </c>
      <c r="AP22">
        <v>0.19968379</v>
      </c>
      <c r="AQ22">
        <v>-0.19741504000000001</v>
      </c>
      <c r="AR22">
        <v>-2.0807734000000001E-2</v>
      </c>
      <c r="AS22">
        <v>0.36151951999999998</v>
      </c>
      <c r="AT22">
        <v>-0.363228</v>
      </c>
      <c r="AU22">
        <v>-0.19041516999999999</v>
      </c>
      <c r="AV22">
        <v>-0.52702470000000001</v>
      </c>
      <c r="AW22">
        <v>-0.18686564</v>
      </c>
      <c r="AX22">
        <v>0.28744071999999998</v>
      </c>
      <c r="AY22">
        <v>0.18967990000000001</v>
      </c>
      <c r="AZ22">
        <v>-1.3390279999999999E-2</v>
      </c>
      <c r="BA22">
        <v>0.10065332</v>
      </c>
      <c r="BB22">
        <v>-5.9235512999999997E-2</v>
      </c>
      <c r="BC22">
        <v>0.15467305000000001</v>
      </c>
      <c r="BD22">
        <v>0.22951415</v>
      </c>
      <c r="BE22">
        <v>0.35371068</v>
      </c>
      <c r="BF22">
        <v>0.10236642</v>
      </c>
      <c r="BG22">
        <v>-0.49982914000000001</v>
      </c>
      <c r="BH22">
        <v>-3.6005855000000003E-2</v>
      </c>
      <c r="BI22">
        <v>0.11548750000000001</v>
      </c>
      <c r="BJ22">
        <v>-0.20595472000000001</v>
      </c>
      <c r="BK22">
        <v>-3.6149725000000001E-2</v>
      </c>
      <c r="BL22">
        <v>2.2413557999999999E-4</v>
      </c>
      <c r="BM22">
        <v>-5.7421103000000001E-2</v>
      </c>
      <c r="BN22">
        <v>-8.5126279999999999E-2</v>
      </c>
      <c r="BO22">
        <v>0.15103203000000001</v>
      </c>
      <c r="BP22">
        <v>-2.7213790000000002E-2</v>
      </c>
      <c r="BQ22">
        <v>6.9832019999999995E-2</v>
      </c>
      <c r="BR22">
        <v>0.23560745</v>
      </c>
      <c r="BS22">
        <v>0.29986184999999999</v>
      </c>
      <c r="BT22">
        <v>9.3758300000000003E-2</v>
      </c>
      <c r="BU22">
        <v>2.2438418000000002E-2</v>
      </c>
      <c r="BV22">
        <v>6.1948348E-2</v>
      </c>
      <c r="BW22">
        <v>-5.9706005999999999E-2</v>
      </c>
      <c r="BX22">
        <v>-8.1136815000000001E-2</v>
      </c>
      <c r="BY22">
        <v>0.14454212999999999</v>
      </c>
      <c r="BZ22">
        <v>3.3835463000000003E-2</v>
      </c>
      <c r="CA22">
        <v>-0.14129384</v>
      </c>
      <c r="CB22">
        <v>-0.14377587999999999</v>
      </c>
      <c r="CC22">
        <v>0.10091696999999999</v>
      </c>
      <c r="CD22">
        <v>0.11618666</v>
      </c>
      <c r="CE22">
        <v>0.29778041999999999</v>
      </c>
      <c r="CF22">
        <v>-0.2030978</v>
      </c>
      <c r="CG22">
        <v>9.8170880000000002E-2</v>
      </c>
      <c r="CH22">
        <v>0.14401460999999999</v>
      </c>
      <c r="CI22">
        <v>-2.8156440000000001E-2</v>
      </c>
      <c r="CJ22">
        <v>-3.0685203000000001E-2</v>
      </c>
      <c r="CK22">
        <v>-0.38817462000000003</v>
      </c>
      <c r="CL22">
        <v>0.11551929</v>
      </c>
      <c r="CM22">
        <v>-1.8494485000000001E-2</v>
      </c>
      <c r="CN22">
        <v>7.0570040000000001E-2</v>
      </c>
      <c r="CO22">
        <v>-0.27064287999999997</v>
      </c>
      <c r="CP22">
        <v>0.26131544000000001</v>
      </c>
      <c r="CQ22">
        <v>-1.0150118E-2</v>
      </c>
      <c r="CR22">
        <v>3.5962003999999999E-2</v>
      </c>
      <c r="CS22">
        <v>8.6283035999999994E-2</v>
      </c>
      <c r="CT22">
        <v>4.6782542000000003E-2</v>
      </c>
      <c r="CU22">
        <v>0.17534657000000001</v>
      </c>
      <c r="CV22">
        <v>-0.48695332000000002</v>
      </c>
      <c r="CW22">
        <v>1.1825782E-2</v>
      </c>
      <c r="CX22">
        <v>-0.12833910000000001</v>
      </c>
      <c r="CY22">
        <v>-0.25285676000000001</v>
      </c>
      <c r="CZ22">
        <v>5.9360889999999999E-2</v>
      </c>
      <c r="DA22">
        <v>-2.2057928000000001E-2</v>
      </c>
      <c r="DB22">
        <v>5.9985925000000002E-2</v>
      </c>
      <c r="DC22">
        <v>0.15833704000000001</v>
      </c>
      <c r="DD22">
        <v>4.0944356000000001E-2</v>
      </c>
      <c r="DE22">
        <v>0.33996198</v>
      </c>
      <c r="DF22">
        <v>-4.3861310000000001E-2</v>
      </c>
      <c r="DG22">
        <v>-8.6528859999999999E-2</v>
      </c>
      <c r="DH22">
        <v>-2.3544997000000002E-2</v>
      </c>
      <c r="DI22">
        <v>9.0833830000000004E-2</v>
      </c>
      <c r="DJ22">
        <v>-8.6694030000000005E-2</v>
      </c>
      <c r="DK22">
        <v>1.9161872E-4</v>
      </c>
      <c r="DL22">
        <v>-4.5524943000000003E-3</v>
      </c>
      <c r="DM22">
        <v>3.9383719999999997E-2</v>
      </c>
      <c r="DN22">
        <v>0.35799619999999999</v>
      </c>
      <c r="DO22">
        <v>9.2491130000000005E-2</v>
      </c>
      <c r="DP22">
        <v>0.14900503000000001</v>
      </c>
      <c r="DQ22">
        <v>5.2534237999999997E-2</v>
      </c>
      <c r="DR22">
        <v>-4.7135570000000002E-2</v>
      </c>
      <c r="DS22">
        <v>0.38749716000000001</v>
      </c>
      <c r="DT22">
        <v>0.12692733</v>
      </c>
      <c r="DU22">
        <v>-8.4475614000000004E-2</v>
      </c>
      <c r="DV22">
        <v>-0.14549159</v>
      </c>
      <c r="DW22">
        <v>-3.6009867000000001E-2</v>
      </c>
      <c r="DX22">
        <v>8.3044893999999994E-2</v>
      </c>
      <c r="DY22">
        <v>0.10092033</v>
      </c>
      <c r="DZ22">
        <v>0.20432220000000001</v>
      </c>
    </row>
    <row r="23" spans="1:130" x14ac:dyDescent="0.3">
      <c r="A23">
        <f>Board!$I$3</f>
        <v>1</v>
      </c>
      <c r="C23">
        <v>-6.7426550000000002E-2</v>
      </c>
      <c r="D23">
        <v>0.10448259</v>
      </c>
      <c r="E23">
        <v>-0.122260734</v>
      </c>
      <c r="F23">
        <v>-0.16510812999999999</v>
      </c>
      <c r="G23">
        <v>7.5851426E-2</v>
      </c>
      <c r="H23">
        <v>0.10645498</v>
      </c>
      <c r="I23">
        <v>-0.17343372000000001</v>
      </c>
      <c r="J23">
        <v>-0.104864396</v>
      </c>
      <c r="K23">
        <v>0.20643597999999999</v>
      </c>
      <c r="L23">
        <v>-0.21769740000000001</v>
      </c>
      <c r="M23">
        <v>1.4651196999999999E-2</v>
      </c>
      <c r="N23">
        <v>0.24719256000000001</v>
      </c>
      <c r="O23">
        <v>-0.13896049999999999</v>
      </c>
      <c r="P23">
        <v>-0.19879362</v>
      </c>
      <c r="Q23">
        <v>-5.0122105E-2</v>
      </c>
      <c r="R23">
        <v>9.8937789999999998E-2</v>
      </c>
      <c r="S23">
        <v>-8.2684919999999995E-2</v>
      </c>
      <c r="T23">
        <v>0.20565939</v>
      </c>
      <c r="U23">
        <v>2.622147E-2</v>
      </c>
      <c r="V23">
        <v>-7.4509857000000001E-3</v>
      </c>
      <c r="W23">
        <v>-0.10581709</v>
      </c>
      <c r="X23">
        <v>2.3034671E-2</v>
      </c>
      <c r="Y23">
        <v>0.19927448</v>
      </c>
      <c r="Z23">
        <v>-1.4631036E-2</v>
      </c>
      <c r="AA23">
        <v>-4.8687464999999999E-2</v>
      </c>
      <c r="AB23">
        <v>1.7859155000000001E-3</v>
      </c>
      <c r="AC23">
        <v>-3.9614997999999998E-2</v>
      </c>
      <c r="AD23">
        <v>2.9778002000000001E-2</v>
      </c>
      <c r="AE23">
        <v>7.9927415000000002E-2</v>
      </c>
      <c r="AF23">
        <v>-3.9601064999999998E-2</v>
      </c>
      <c r="AG23">
        <v>6.7662899999999998E-2</v>
      </c>
      <c r="AH23">
        <v>7.48442E-2</v>
      </c>
      <c r="AI23">
        <v>-0.14158825999999999</v>
      </c>
      <c r="AJ23">
        <v>-2.0999790000000001E-2</v>
      </c>
      <c r="AK23">
        <v>3.7120588000000003E-2</v>
      </c>
      <c r="AL23">
        <v>-0.15759347000000001</v>
      </c>
      <c r="AM23">
        <v>3.9614669999999998E-3</v>
      </c>
      <c r="AN23">
        <v>1.546543E-2</v>
      </c>
      <c r="AO23">
        <v>-9.249802E-2</v>
      </c>
      <c r="AP23">
        <v>5.867584E-2</v>
      </c>
      <c r="AQ23">
        <v>0.12527244000000001</v>
      </c>
      <c r="AR23">
        <v>4.2984728E-2</v>
      </c>
      <c r="AS23">
        <v>0.45788452000000002</v>
      </c>
      <c r="AT23">
        <v>-0.15633675</v>
      </c>
      <c r="AU23">
        <v>-0.2322572</v>
      </c>
      <c r="AV23">
        <v>-0.25955980000000001</v>
      </c>
      <c r="AW23">
        <v>-0.27640199999999998</v>
      </c>
      <c r="AX23">
        <v>8.5487049999999995E-2</v>
      </c>
      <c r="AY23">
        <v>8.4794169999999995E-3</v>
      </c>
      <c r="AZ23">
        <v>-0.13921161000000001</v>
      </c>
      <c r="BA23">
        <v>0.1907915</v>
      </c>
      <c r="BB23">
        <v>-0.11846067</v>
      </c>
      <c r="BC23">
        <v>6.957149E-2</v>
      </c>
      <c r="BD23">
        <v>0.32111377000000002</v>
      </c>
      <c r="BE23">
        <v>0.30608155999999997</v>
      </c>
      <c r="BF23">
        <v>4.8137399999999997E-2</v>
      </c>
      <c r="BG23">
        <v>-0.21848967999999999</v>
      </c>
      <c r="BH23">
        <v>0.12883928</v>
      </c>
      <c r="BI23">
        <v>9.8438869999999998E-2</v>
      </c>
      <c r="BJ23">
        <v>-0.25807434000000001</v>
      </c>
      <c r="BK23">
        <v>-9.5893249999999999E-2</v>
      </c>
      <c r="BL23">
        <v>-3.1451213999999998E-2</v>
      </c>
      <c r="BM23">
        <v>0.12675689000000001</v>
      </c>
      <c r="BN23">
        <v>0.20379770999999999</v>
      </c>
      <c r="BO23">
        <v>0.1951918</v>
      </c>
      <c r="BP23">
        <v>2.8999715999999998E-2</v>
      </c>
      <c r="BQ23">
        <v>0.22107176000000001</v>
      </c>
      <c r="BR23">
        <v>3.0851389999999999E-2</v>
      </c>
      <c r="BS23">
        <v>0.22290455000000001</v>
      </c>
      <c r="BT23">
        <v>0.28129777</v>
      </c>
      <c r="BU23">
        <v>6.3000429999999996E-2</v>
      </c>
      <c r="BV23">
        <v>-0.44759130000000003</v>
      </c>
      <c r="BW23">
        <v>-0.12183291</v>
      </c>
      <c r="BX23">
        <v>2.2710330000000001E-2</v>
      </c>
      <c r="BY23">
        <v>6.6250210000000004E-2</v>
      </c>
      <c r="BZ23">
        <v>-3.8319440000000003E-2</v>
      </c>
      <c r="CA23">
        <v>-4.5052219999999997E-2</v>
      </c>
      <c r="CB23">
        <v>-7.7252390000000004E-2</v>
      </c>
      <c r="CC23">
        <v>7.7022740000000006E-2</v>
      </c>
      <c r="CD23">
        <v>0.18452267</v>
      </c>
      <c r="CE23">
        <v>1.0242126000000001E-2</v>
      </c>
      <c r="CF23">
        <v>-5.7954190000000003E-2</v>
      </c>
      <c r="CG23">
        <v>-1.7964786E-2</v>
      </c>
      <c r="CH23">
        <v>-2.8846348000000001E-2</v>
      </c>
      <c r="CI23">
        <v>9.5433740000000003E-3</v>
      </c>
      <c r="CJ23">
        <v>-9.9295830000000002E-2</v>
      </c>
      <c r="CK23">
        <v>-0.25755053999999999</v>
      </c>
      <c r="CL23">
        <v>6.4842469999999999E-2</v>
      </c>
      <c r="CM23">
        <v>-2.9290967000000001E-2</v>
      </c>
      <c r="CN23">
        <v>4.5603326999999999E-2</v>
      </c>
      <c r="CO23">
        <v>-0.16194600000000001</v>
      </c>
      <c r="CP23">
        <v>9.7152403999999998E-2</v>
      </c>
      <c r="CQ23">
        <v>6.284352E-2</v>
      </c>
      <c r="CR23">
        <v>-6.8412214999999998E-2</v>
      </c>
      <c r="CS23">
        <v>2.5080539999999998E-2</v>
      </c>
      <c r="CT23">
        <v>-0.21468325999999999</v>
      </c>
      <c r="CU23">
        <v>8.3390859999999997E-2</v>
      </c>
      <c r="CV23">
        <v>-4.7059103999999997E-2</v>
      </c>
      <c r="CW23">
        <v>6.4572129999999998E-3</v>
      </c>
      <c r="CX23">
        <v>-0.23863203999999999</v>
      </c>
      <c r="CY23">
        <v>-0.21328710000000001</v>
      </c>
      <c r="CZ23">
        <v>-0.1395642</v>
      </c>
      <c r="DA23">
        <v>-0.15495338</v>
      </c>
      <c r="DB23">
        <v>6.7606403999999995E-2</v>
      </c>
      <c r="DC23">
        <v>0.17578782000000001</v>
      </c>
      <c r="DD23">
        <v>0.21808227999999999</v>
      </c>
      <c r="DE23">
        <v>0.37266853</v>
      </c>
      <c r="DF23">
        <v>3.4289132999999999E-2</v>
      </c>
      <c r="DG23">
        <v>-9.7475510000000001E-2</v>
      </c>
      <c r="DH23">
        <v>0.27623745999999999</v>
      </c>
      <c r="DI23">
        <v>0.15389667000000001</v>
      </c>
      <c r="DJ23">
        <v>-0.15139985</v>
      </c>
      <c r="DK23">
        <v>-3.7152413000000002E-2</v>
      </c>
      <c r="DL23">
        <v>0.21539875999999999</v>
      </c>
      <c r="DM23">
        <v>-3.3509353999999999E-3</v>
      </c>
      <c r="DN23">
        <v>0.12022268999999999</v>
      </c>
      <c r="DO23">
        <v>5.6073613000000001E-2</v>
      </c>
      <c r="DP23">
        <v>0.12898397</v>
      </c>
      <c r="DQ23">
        <v>2.4228309999999999E-2</v>
      </c>
      <c r="DR23">
        <v>1.1908716499999999E-2</v>
      </c>
      <c r="DS23">
        <v>0.35412124</v>
      </c>
      <c r="DT23">
        <v>0.12866706999999999</v>
      </c>
      <c r="DU23">
        <v>0.16241659</v>
      </c>
      <c r="DV23">
        <v>-1.9386173999999999E-2</v>
      </c>
      <c r="DW23">
        <v>3.7499829999999998E-2</v>
      </c>
      <c r="DX23">
        <v>-8.3526390000000006E-2</v>
      </c>
      <c r="DY23">
        <v>-6.4682400000000001E-2</v>
      </c>
      <c r="DZ23">
        <v>3.5092476999999997E-2</v>
      </c>
    </row>
    <row r="24" spans="1:130" x14ac:dyDescent="0.3">
      <c r="A24">
        <f>Board!$J$3</f>
        <v>0</v>
      </c>
      <c r="C24">
        <v>-0.10388367599999999</v>
      </c>
      <c r="D24">
        <v>0.21296586000000001</v>
      </c>
      <c r="E24">
        <v>-7.0661575000000004E-2</v>
      </c>
      <c r="F24">
        <v>0.25168455000000001</v>
      </c>
      <c r="G24">
        <v>-1.602715E-2</v>
      </c>
      <c r="H24">
        <v>0.19483370999999999</v>
      </c>
      <c r="I24">
        <v>-0.1904515</v>
      </c>
      <c r="J24">
        <v>-3.8037043E-2</v>
      </c>
      <c r="K24">
        <v>2.4697429999999999E-2</v>
      </c>
      <c r="L24">
        <v>-0.10178602</v>
      </c>
      <c r="M24">
        <v>-3.1188761999999998E-2</v>
      </c>
      <c r="N24">
        <v>0.12532128000000001</v>
      </c>
      <c r="O24">
        <v>-0.12000108499999999</v>
      </c>
      <c r="P24">
        <v>-0.12190172000000001</v>
      </c>
      <c r="Q24">
        <v>7.0305649999999997E-2</v>
      </c>
      <c r="R24">
        <v>2.9437356000000001E-2</v>
      </c>
      <c r="S24">
        <v>-7.2163959999999999E-2</v>
      </c>
      <c r="T24">
        <v>3.5623045000000001E-4</v>
      </c>
      <c r="U24">
        <v>0.15897330000000001</v>
      </c>
      <c r="V24">
        <v>0.21581426000000001</v>
      </c>
      <c r="W24">
        <v>6.7595596999999999E-3</v>
      </c>
      <c r="X24">
        <v>-8.1538955999999995E-4</v>
      </c>
      <c r="Y24">
        <v>0.17714806</v>
      </c>
      <c r="Z24">
        <v>-0.21823817000000001</v>
      </c>
      <c r="AA24">
        <v>-0.21273905000000001</v>
      </c>
      <c r="AB24">
        <v>-1.2443653000000001E-2</v>
      </c>
      <c r="AC24">
        <v>0.10990774</v>
      </c>
      <c r="AD24">
        <v>9.3987210000000002E-2</v>
      </c>
      <c r="AE24">
        <v>0.10109120000000001</v>
      </c>
      <c r="AF24">
        <v>-5.3198309999999999E-2</v>
      </c>
      <c r="AG24">
        <v>-2.8357966000000002E-4</v>
      </c>
      <c r="AH24">
        <v>3.9468490000000002E-2</v>
      </c>
      <c r="AI24">
        <v>-0.18002193</v>
      </c>
      <c r="AJ24">
        <v>-7.4989125000000004E-2</v>
      </c>
      <c r="AK24">
        <v>9.0931250000000005E-2</v>
      </c>
      <c r="AL24">
        <v>-3.4548405999999997E-2</v>
      </c>
      <c r="AM24">
        <v>-0.13644086999999999</v>
      </c>
      <c r="AN24">
        <v>-9.9063984999999993E-2</v>
      </c>
      <c r="AO24">
        <v>-8.9285039999999996E-2</v>
      </c>
      <c r="AP24">
        <v>3.6850769999999998E-2</v>
      </c>
      <c r="AQ24">
        <v>0.17746708</v>
      </c>
      <c r="AR24">
        <v>-3.869351E-2</v>
      </c>
      <c r="AS24">
        <v>0.14676526000000001</v>
      </c>
      <c r="AT24">
        <v>0.12232685</v>
      </c>
      <c r="AU24">
        <v>-0.28984840000000001</v>
      </c>
      <c r="AV24">
        <v>-5.1775626999999998E-2</v>
      </c>
      <c r="AW24">
        <v>-0.38026324</v>
      </c>
      <c r="AX24">
        <v>0.16517087999999999</v>
      </c>
      <c r="AY24">
        <v>0.13753709</v>
      </c>
      <c r="AZ24">
        <v>-7.6745770000000005E-2</v>
      </c>
      <c r="BA24">
        <v>0.1870704</v>
      </c>
      <c r="BB24">
        <v>-0.20723433999999999</v>
      </c>
      <c r="BC24">
        <v>8.0543585000000001E-2</v>
      </c>
      <c r="BD24">
        <v>1.615304E-2</v>
      </c>
      <c r="BE24">
        <v>6.4700419999999995E-2</v>
      </c>
      <c r="BF24">
        <v>5.5828467E-2</v>
      </c>
      <c r="BG24">
        <v>3.7746574999999997E-2</v>
      </c>
      <c r="BH24">
        <v>6.9547520000000002E-2</v>
      </c>
      <c r="BI24">
        <v>0.17478748</v>
      </c>
      <c r="BJ24">
        <v>-0.31988867999999998</v>
      </c>
      <c r="BK24">
        <v>1.48106E-2</v>
      </c>
      <c r="BL24">
        <v>0.1744772</v>
      </c>
      <c r="BM24">
        <v>-1.5474517E-2</v>
      </c>
      <c r="BN24">
        <v>-0.16620452999999999</v>
      </c>
      <c r="BO24">
        <v>0.26606995</v>
      </c>
      <c r="BP24">
        <v>0.10305697</v>
      </c>
      <c r="BQ24">
        <v>0.17401775999999999</v>
      </c>
      <c r="BR24">
        <v>-1.6493509999999999E-2</v>
      </c>
      <c r="BS24">
        <v>0.23586658999999999</v>
      </c>
      <c r="BT24">
        <v>0.25101474000000001</v>
      </c>
      <c r="BU24">
        <v>0.12273146</v>
      </c>
      <c r="BV24">
        <v>-0.42494503</v>
      </c>
      <c r="BW24">
        <v>-7.427156E-2</v>
      </c>
      <c r="BX24">
        <v>8.2636714E-2</v>
      </c>
      <c r="BY24">
        <v>4.8397519999999999E-2</v>
      </c>
      <c r="BZ24">
        <v>-4.9253087000000001E-2</v>
      </c>
      <c r="CA24">
        <v>1.3109396999999999E-3</v>
      </c>
      <c r="CB24">
        <v>-0.19098809999999999</v>
      </c>
      <c r="CC24">
        <v>8.7438694999999997E-2</v>
      </c>
      <c r="CD24">
        <v>5.2126784000000002E-2</v>
      </c>
      <c r="CE24">
        <v>-9.4111345999999999E-2</v>
      </c>
      <c r="CF24">
        <v>-6.2785536000000003E-2</v>
      </c>
      <c r="CG24">
        <v>2.9458389000000001E-2</v>
      </c>
      <c r="CH24">
        <v>-3.6673699999999997E-2</v>
      </c>
      <c r="CI24">
        <v>0.12001748</v>
      </c>
      <c r="CJ24">
        <v>2.7522199000000001E-2</v>
      </c>
      <c r="CK24">
        <v>-0.23608634000000001</v>
      </c>
      <c r="CL24">
        <v>-3.0809293000000001E-2</v>
      </c>
      <c r="CM24">
        <v>-0.20696450999999999</v>
      </c>
      <c r="CN24">
        <v>-0.10421819</v>
      </c>
      <c r="CO24">
        <v>4.4686469999999999E-2</v>
      </c>
      <c r="CP24">
        <v>-0.30985210000000002</v>
      </c>
      <c r="CQ24">
        <v>-2.3526182E-2</v>
      </c>
      <c r="CR24">
        <v>-0.39653736000000001</v>
      </c>
      <c r="CS24">
        <v>-0.22381007999999999</v>
      </c>
      <c r="CT24">
        <v>-0.19136074</v>
      </c>
      <c r="CU24">
        <v>9.0468450000000006E-2</v>
      </c>
      <c r="CV24">
        <v>-5.7918746E-2</v>
      </c>
      <c r="CW24">
        <v>-5.5804167000000002E-2</v>
      </c>
      <c r="CX24">
        <v>-0.30552223000000001</v>
      </c>
      <c r="CY24">
        <v>2.7833933000000002E-2</v>
      </c>
      <c r="CZ24">
        <v>-0.23604736000000001</v>
      </c>
      <c r="DA24">
        <v>-8.8673379999999996E-2</v>
      </c>
      <c r="DB24">
        <v>7.9082479999999997E-2</v>
      </c>
      <c r="DC24">
        <v>-0.13176006000000001</v>
      </c>
      <c r="DD24">
        <v>8.5972439999999997E-2</v>
      </c>
      <c r="DE24">
        <v>0.25300729999999999</v>
      </c>
      <c r="DF24">
        <v>5.3712849999999999E-2</v>
      </c>
      <c r="DG24">
        <v>-0.21497239000000001</v>
      </c>
      <c r="DH24">
        <v>0.18294811</v>
      </c>
      <c r="DI24">
        <v>0.1306484</v>
      </c>
      <c r="DJ24">
        <v>-8.7584470000000008E-3</v>
      </c>
      <c r="DK24">
        <v>1.8011367E-2</v>
      </c>
      <c r="DL24">
        <v>0.18065276999999999</v>
      </c>
      <c r="DM24">
        <v>7.1959220000000004E-2</v>
      </c>
      <c r="DN24">
        <v>8.6086449999999995E-2</v>
      </c>
      <c r="DO24">
        <v>0.18684344</v>
      </c>
      <c r="DP24">
        <v>0.16480504000000001</v>
      </c>
      <c r="DQ24">
        <v>6.9581939999999995E-2</v>
      </c>
      <c r="DR24">
        <v>0.23652612000000001</v>
      </c>
      <c r="DS24">
        <v>0.19593835000000001</v>
      </c>
      <c r="DT24">
        <v>0.19256319999999999</v>
      </c>
      <c r="DU24">
        <v>0.14760375000000001</v>
      </c>
      <c r="DV24">
        <v>5.1435507999999998E-2</v>
      </c>
      <c r="DW24">
        <v>7.3404839999999999E-2</v>
      </c>
      <c r="DX24">
        <v>-4.0292467999999998E-2</v>
      </c>
      <c r="DY24">
        <v>3.8069013999999998E-2</v>
      </c>
      <c r="DZ24">
        <v>-0.26152560000000002</v>
      </c>
    </row>
    <row r="25" spans="1:130" x14ac:dyDescent="0.3">
      <c r="A25">
        <f>Board!$K$3</f>
        <v>0</v>
      </c>
      <c r="C25">
        <v>-0.38287905</v>
      </c>
      <c r="D25">
        <v>-1.7795821999999999E-2</v>
      </c>
      <c r="E25">
        <v>0.18115576</v>
      </c>
      <c r="F25">
        <v>0.14012730000000001</v>
      </c>
      <c r="G25">
        <v>0.11185017999999999</v>
      </c>
      <c r="H25">
        <v>0.10567655400000001</v>
      </c>
      <c r="I25">
        <v>-0.1228499</v>
      </c>
      <c r="J25">
        <v>-0.13144523999999999</v>
      </c>
      <c r="K25">
        <v>-3.2492276E-2</v>
      </c>
      <c r="L25">
        <v>-0.24242338999999999</v>
      </c>
      <c r="M25">
        <v>0.18365330999999999</v>
      </c>
      <c r="N25">
        <v>3.2798170000000001E-2</v>
      </c>
      <c r="O25">
        <v>-0.29118759999999999</v>
      </c>
      <c r="P25">
        <v>-4.2847969999999999E-2</v>
      </c>
      <c r="Q25">
        <v>4.0078244999999998E-2</v>
      </c>
      <c r="R25">
        <v>3.1415067999999997E-2</v>
      </c>
      <c r="S25">
        <v>3.7848979999999997E-2</v>
      </c>
      <c r="T25">
        <v>0.113924935</v>
      </c>
      <c r="U25">
        <v>6.6147460000000005E-2</v>
      </c>
      <c r="V25">
        <v>0.13861746999999999</v>
      </c>
      <c r="W25">
        <v>-5.0426800000000001E-2</v>
      </c>
      <c r="X25">
        <v>-0.1384349</v>
      </c>
      <c r="Y25">
        <v>0.18487390000000001</v>
      </c>
      <c r="Z25">
        <v>-0.13982465999999999</v>
      </c>
      <c r="AA25">
        <v>-0.1835195</v>
      </c>
      <c r="AB25">
        <v>0.14237995000000001</v>
      </c>
      <c r="AC25">
        <v>-2.5403753000000001E-2</v>
      </c>
      <c r="AD25">
        <v>0.15671089999999999</v>
      </c>
      <c r="AE25">
        <v>6.4195000000000002E-2</v>
      </c>
      <c r="AF25">
        <v>-0.33384796999999999</v>
      </c>
      <c r="AG25">
        <v>5.4151345999999996E-3</v>
      </c>
      <c r="AH25">
        <v>-7.0760749999999997E-2</v>
      </c>
      <c r="AI25">
        <v>-0.25182036000000002</v>
      </c>
      <c r="AJ25">
        <v>-9.8263500000000004E-2</v>
      </c>
      <c r="AK25">
        <v>-1.8274895999999999E-2</v>
      </c>
      <c r="AL25">
        <v>-0.15913795999999999</v>
      </c>
      <c r="AM25">
        <v>-0.11260544</v>
      </c>
      <c r="AN25">
        <v>-5.6989983000000001E-2</v>
      </c>
      <c r="AO25">
        <v>-2.1574657000000001E-2</v>
      </c>
      <c r="AP25">
        <v>9.9931753999999998E-2</v>
      </c>
      <c r="AQ25">
        <v>7.8169219999999998E-2</v>
      </c>
      <c r="AR25">
        <v>0.10786266999999999</v>
      </c>
      <c r="AS25">
        <v>0.41731128000000001</v>
      </c>
      <c r="AT25">
        <v>0.16298731999999999</v>
      </c>
      <c r="AU25">
        <v>-0.2818599</v>
      </c>
      <c r="AV25">
        <v>-0.11716463000000001</v>
      </c>
      <c r="AW25">
        <v>-0.32108863999999998</v>
      </c>
      <c r="AX25">
        <v>7.0951319999999998E-2</v>
      </c>
      <c r="AY25">
        <v>-6.9818130000000006E-2</v>
      </c>
      <c r="AZ25">
        <v>-0.23002137</v>
      </c>
      <c r="BA25">
        <v>5.0478525000000003E-2</v>
      </c>
      <c r="BB25">
        <v>-0.26092559999999998</v>
      </c>
      <c r="BC25">
        <v>-1.7199092999999999E-2</v>
      </c>
      <c r="BD25">
        <v>4.0144461999999999E-2</v>
      </c>
      <c r="BE25">
        <v>-0.20566889999999999</v>
      </c>
      <c r="BF25">
        <v>7.1353844999999999E-2</v>
      </c>
      <c r="BG25">
        <v>0.17398989000000001</v>
      </c>
      <c r="BH25">
        <v>-6.8973800000000002E-2</v>
      </c>
      <c r="BI25">
        <v>-4.9446363E-2</v>
      </c>
      <c r="BJ25">
        <v>-0.10655857000000001</v>
      </c>
      <c r="BK25">
        <v>-4.7561590000000001E-2</v>
      </c>
      <c r="BL25">
        <v>0.18373772999999999</v>
      </c>
      <c r="BM25">
        <v>-8.4426760000000003E-2</v>
      </c>
      <c r="BN25">
        <v>-2.9500875999999999E-2</v>
      </c>
      <c r="BO25">
        <v>-2.0786605999999999E-2</v>
      </c>
      <c r="BP25">
        <v>-2.1208036999999999E-2</v>
      </c>
      <c r="BQ25">
        <v>0.18397714000000001</v>
      </c>
      <c r="BR25">
        <v>2.5640811999999998E-3</v>
      </c>
      <c r="BS25">
        <v>0.53037416999999998</v>
      </c>
      <c r="BT25">
        <v>0.22328577999999999</v>
      </c>
      <c r="BU25">
        <v>0.14514703000000001</v>
      </c>
      <c r="BV25">
        <v>-0.26033378000000001</v>
      </c>
      <c r="BW25">
        <v>-1.4683082E-2</v>
      </c>
      <c r="BX25">
        <v>5.7862494E-2</v>
      </c>
      <c r="BY25">
        <v>-7.9657549999999994E-2</v>
      </c>
      <c r="BZ25">
        <v>-9.5958315000000002E-2</v>
      </c>
      <c r="CA25">
        <v>1.3392164999999999E-2</v>
      </c>
      <c r="CB25">
        <v>0.11981738</v>
      </c>
      <c r="CC25">
        <v>0.16974075</v>
      </c>
      <c r="CD25">
        <v>0.25423434</v>
      </c>
      <c r="CE25">
        <v>-3.8767204E-2</v>
      </c>
      <c r="CF25">
        <v>-1.0927776E-2</v>
      </c>
      <c r="CG25">
        <v>1.29128955E-2</v>
      </c>
      <c r="CH25">
        <v>0.22995164000000001</v>
      </c>
      <c r="CI25">
        <v>-7.98209E-2</v>
      </c>
      <c r="CJ25">
        <v>0.21238778999999999</v>
      </c>
      <c r="CK25">
        <v>-6.3066399999999995E-2</v>
      </c>
      <c r="CL25">
        <v>3.1939253000000001E-2</v>
      </c>
      <c r="CM25">
        <v>-0.13569813999999999</v>
      </c>
      <c r="CN25">
        <v>-8.5637609999999996E-3</v>
      </c>
      <c r="CO25">
        <v>0.12139436000000001</v>
      </c>
      <c r="CP25">
        <v>-0.38577719999999999</v>
      </c>
      <c r="CQ25">
        <v>-0.13953984</v>
      </c>
      <c r="CR25">
        <v>-0.28576604</v>
      </c>
      <c r="CS25">
        <v>-0.16212963</v>
      </c>
      <c r="CT25">
        <v>-9.4304755000000004E-2</v>
      </c>
      <c r="CU25">
        <v>-1.5660246999999999E-2</v>
      </c>
      <c r="CV25">
        <v>-1.8553909E-2</v>
      </c>
      <c r="CW25">
        <v>-7.3373069999999999E-2</v>
      </c>
      <c r="CX25">
        <v>-0.25188926</v>
      </c>
      <c r="CY25">
        <v>0.105510086</v>
      </c>
      <c r="CZ25">
        <v>5.3988716999999999E-2</v>
      </c>
      <c r="DA25">
        <v>0.24293302999999999</v>
      </c>
      <c r="DB25">
        <v>-5.3659655000000001E-2</v>
      </c>
      <c r="DC25">
        <v>-0.22024057999999999</v>
      </c>
      <c r="DD25">
        <v>0.18137051000000001</v>
      </c>
      <c r="DE25">
        <v>-0.12835530000000001</v>
      </c>
      <c r="DF25">
        <v>3.1727850000000002E-2</v>
      </c>
      <c r="DG25">
        <v>-0.33114075999999998</v>
      </c>
      <c r="DH25">
        <v>-0.10190086</v>
      </c>
      <c r="DI25">
        <v>-5.0044182999999999E-2</v>
      </c>
      <c r="DJ25">
        <v>0.11830985500000001</v>
      </c>
      <c r="DK25">
        <v>-6.0215405999999999E-2</v>
      </c>
      <c r="DL25">
        <v>0.20465226</v>
      </c>
      <c r="DM25">
        <v>0.10294112</v>
      </c>
      <c r="DN25">
        <v>-5.6048292999999999E-2</v>
      </c>
      <c r="DO25">
        <v>6.6223517000000001E-3</v>
      </c>
      <c r="DP25">
        <v>1.1552798E-2</v>
      </c>
      <c r="DQ25">
        <v>-1.635166E-2</v>
      </c>
      <c r="DR25">
        <v>4.8816911999999997E-2</v>
      </c>
      <c r="DS25">
        <v>-5.7299163E-2</v>
      </c>
      <c r="DT25">
        <v>4.3460757000000003E-2</v>
      </c>
      <c r="DU25">
        <v>2.7696552999999999E-3</v>
      </c>
      <c r="DV25">
        <v>0.2002324</v>
      </c>
      <c r="DW25">
        <v>0.22802082000000001</v>
      </c>
      <c r="DX25">
        <v>-8.70446E-2</v>
      </c>
      <c r="DY25">
        <v>5.9113659999999998E-2</v>
      </c>
      <c r="DZ25">
        <v>-0.21730891999999999</v>
      </c>
    </row>
    <row r="26" spans="1:130" x14ac:dyDescent="0.3">
      <c r="A26">
        <f>Board!$L$3</f>
        <v>0</v>
      </c>
      <c r="C26">
        <v>-0.30308573999999999</v>
      </c>
      <c r="D26">
        <v>0.14928353</v>
      </c>
      <c r="E26">
        <v>0.21030314</v>
      </c>
      <c r="F26">
        <v>0.30976917999999998</v>
      </c>
      <c r="G26">
        <v>0.18247160000000001</v>
      </c>
      <c r="H26">
        <v>-0.105483085</v>
      </c>
      <c r="I26">
        <v>4.3168730000000002E-2</v>
      </c>
      <c r="J26">
        <v>3.9735510000000002E-2</v>
      </c>
      <c r="K26">
        <v>-4.8336845000000003E-2</v>
      </c>
      <c r="L26">
        <v>-1.0021462000000001E-3</v>
      </c>
      <c r="M26">
        <v>0.21098106999999999</v>
      </c>
      <c r="N26">
        <v>0.1258242</v>
      </c>
      <c r="O26">
        <v>-0.32923057999999999</v>
      </c>
      <c r="P26">
        <v>2.2743141000000001E-2</v>
      </c>
      <c r="Q26">
        <v>-0.13173262999999999</v>
      </c>
      <c r="R26">
        <v>-0.13901110999999999</v>
      </c>
      <c r="S26">
        <v>3.7671110000000001E-2</v>
      </c>
      <c r="T26">
        <v>0.17383056999999999</v>
      </c>
      <c r="U26">
        <v>0.41774615999999998</v>
      </c>
      <c r="V26">
        <v>0.37363892999999998</v>
      </c>
      <c r="W26">
        <v>-6.1375983000000002E-2</v>
      </c>
      <c r="X26">
        <v>0.21326592999999999</v>
      </c>
      <c r="Y26">
        <v>0.1924622</v>
      </c>
      <c r="Z26">
        <v>-0.20171015</v>
      </c>
      <c r="AA26">
        <v>-0.11859669</v>
      </c>
      <c r="AB26">
        <v>-3.4259650000000003E-2</v>
      </c>
      <c r="AC26">
        <v>5.9792534000000001E-2</v>
      </c>
      <c r="AD26">
        <v>6.1640263000000001E-2</v>
      </c>
      <c r="AE26">
        <v>-7.8482860000000002E-2</v>
      </c>
      <c r="AF26">
        <v>-2.9133756E-2</v>
      </c>
      <c r="AG26">
        <v>0.25880423000000002</v>
      </c>
      <c r="AH26">
        <v>8.7909940000000006E-2</v>
      </c>
      <c r="AI26">
        <v>-0.20560238</v>
      </c>
      <c r="AJ26">
        <v>-3.3107545000000002E-2</v>
      </c>
      <c r="AK26">
        <v>-4.1243130000000003E-2</v>
      </c>
      <c r="AL26">
        <v>-0.40435523000000001</v>
      </c>
      <c r="AM26">
        <v>8.2893750000000002E-2</v>
      </c>
      <c r="AN26">
        <v>8.6631849999999996E-2</v>
      </c>
      <c r="AO26">
        <v>0.11273546</v>
      </c>
      <c r="AP26">
        <v>-6.4145829999999997E-3</v>
      </c>
      <c r="AQ26">
        <v>0.20548278</v>
      </c>
      <c r="AR26">
        <v>0.109601274</v>
      </c>
      <c r="AS26">
        <v>0.47223156999999999</v>
      </c>
      <c r="AT26">
        <v>0.18225208000000001</v>
      </c>
      <c r="AU26">
        <v>-0.27990553000000001</v>
      </c>
      <c r="AV26">
        <v>8.9185849999999997E-2</v>
      </c>
      <c r="AW26">
        <v>-1.9108752E-2</v>
      </c>
      <c r="AX26">
        <v>0.15553923</v>
      </c>
      <c r="AY26">
        <v>-0.2800241</v>
      </c>
      <c r="AZ26">
        <v>-0.19169447000000001</v>
      </c>
      <c r="BA26">
        <v>-0.24009320000000001</v>
      </c>
      <c r="BB26">
        <v>-0.27050765999999998</v>
      </c>
      <c r="BC26">
        <v>-0.17039668999999999</v>
      </c>
      <c r="BD26">
        <v>-0.14270103000000001</v>
      </c>
      <c r="BE26">
        <v>-0.20870842000000001</v>
      </c>
      <c r="BF26">
        <v>-4.6504996999999999E-2</v>
      </c>
      <c r="BG26">
        <v>0.16499274999999999</v>
      </c>
      <c r="BH26">
        <v>7.8032790000000005E-2</v>
      </c>
      <c r="BI26">
        <v>-8.7454019999999993E-2</v>
      </c>
      <c r="BJ26">
        <v>-0.12748192</v>
      </c>
      <c r="BK26">
        <v>-2.6979322999999999E-2</v>
      </c>
      <c r="BL26">
        <v>0.14647143000000001</v>
      </c>
      <c r="BM26">
        <v>0.16905493999999999</v>
      </c>
      <c r="BN26">
        <v>0.28300556999999998</v>
      </c>
      <c r="BO26">
        <v>-0.14426437</v>
      </c>
      <c r="BP26">
        <v>8.9735869999999995E-2</v>
      </c>
      <c r="BQ26">
        <v>7.000468E-2</v>
      </c>
      <c r="BR26">
        <v>0.11245394</v>
      </c>
      <c r="BS26">
        <v>0.35399150000000001</v>
      </c>
      <c r="BT26">
        <v>8.5236839999999994E-2</v>
      </c>
      <c r="BU26">
        <v>0.13072781</v>
      </c>
      <c r="BV26">
        <v>1.3191892E-2</v>
      </c>
      <c r="BW26">
        <v>0.16217208</v>
      </c>
      <c r="BX26">
        <v>1.7488211E-2</v>
      </c>
      <c r="BY26">
        <v>-9.2646439999999997E-2</v>
      </c>
      <c r="BZ26">
        <v>7.7168020000000004E-2</v>
      </c>
      <c r="CA26">
        <v>-9.3102279999999996E-2</v>
      </c>
      <c r="CB26">
        <v>-5.0478750000000003E-2</v>
      </c>
      <c r="CC26">
        <v>0.35183104999999998</v>
      </c>
      <c r="CD26">
        <v>3.9479925999999999E-2</v>
      </c>
      <c r="CE26">
        <v>0.2213205</v>
      </c>
      <c r="CF26">
        <v>-0.29816883999999999</v>
      </c>
      <c r="CG26">
        <v>-5.8084637000000001E-2</v>
      </c>
      <c r="CH26">
        <v>0.35958649999999998</v>
      </c>
      <c r="CI26">
        <v>-5.7090945000000002E-3</v>
      </c>
      <c r="CJ26">
        <v>-0.15145838</v>
      </c>
      <c r="CK26">
        <v>0.10768156</v>
      </c>
      <c r="CL26">
        <v>0.100940354</v>
      </c>
      <c r="CM26">
        <v>-0.23901238999999999</v>
      </c>
      <c r="CN26">
        <v>2.0340983E-2</v>
      </c>
      <c r="CO26">
        <v>7.0672125000000002E-2</v>
      </c>
      <c r="CP26">
        <v>-0.17736022000000001</v>
      </c>
      <c r="CQ26">
        <v>-4.3242904999999998E-2</v>
      </c>
      <c r="CR26">
        <v>-0.27387896</v>
      </c>
      <c r="CS26">
        <v>-0.18090437000000001</v>
      </c>
      <c r="CT26">
        <v>6.8551525000000002E-2</v>
      </c>
      <c r="CU26">
        <v>-0.29296252</v>
      </c>
      <c r="CV26">
        <v>0.13557854</v>
      </c>
      <c r="CW26">
        <v>-0.13822978999999999</v>
      </c>
      <c r="CX26">
        <v>-7.6312260000000007E-2</v>
      </c>
      <c r="CY26">
        <v>0.17730219999999999</v>
      </c>
      <c r="CZ26">
        <v>9.7322939999999997E-2</v>
      </c>
      <c r="DA26">
        <v>0.13208064</v>
      </c>
      <c r="DB26">
        <v>-0.34868192999999997</v>
      </c>
      <c r="DC26">
        <v>-0.17324555</v>
      </c>
      <c r="DD26">
        <v>0.20810973999999999</v>
      </c>
      <c r="DE26">
        <v>-1.0387459000000001E-3</v>
      </c>
      <c r="DF26">
        <v>0.36766583000000003</v>
      </c>
      <c r="DG26">
        <v>-0.16691877999999999</v>
      </c>
      <c r="DH26">
        <v>0.15361391999999999</v>
      </c>
      <c r="DI26">
        <v>6.975054E-2</v>
      </c>
      <c r="DJ26">
        <v>0.1415951</v>
      </c>
      <c r="DK26">
        <v>-0.23047361</v>
      </c>
      <c r="DL26">
        <v>0.4444207</v>
      </c>
      <c r="DM26">
        <v>0.14544721999999999</v>
      </c>
      <c r="DN26">
        <v>-4.6673324000000002E-2</v>
      </c>
      <c r="DO26">
        <v>0.17209627</v>
      </c>
      <c r="DP26">
        <v>0.11357395000000001</v>
      </c>
      <c r="DQ26">
        <v>4.1218102E-2</v>
      </c>
      <c r="DR26">
        <v>-0.12466236</v>
      </c>
      <c r="DS26">
        <v>-0.300153</v>
      </c>
      <c r="DT26">
        <v>0.24044794999999999</v>
      </c>
      <c r="DU26">
        <v>-4.4713255E-2</v>
      </c>
      <c r="DV26">
        <v>0.22470461999999999</v>
      </c>
      <c r="DW26">
        <v>0.44052760000000002</v>
      </c>
      <c r="DX26">
        <v>-6.5834660000000003E-2</v>
      </c>
      <c r="DY26">
        <v>-6.5036590000000002E-3</v>
      </c>
      <c r="DZ26">
        <v>-0.32559347</v>
      </c>
    </row>
    <row r="27" spans="1:130" x14ac:dyDescent="0.3">
      <c r="A27">
        <f>Board!$M$3</f>
        <v>0</v>
      </c>
      <c r="C27">
        <v>-4.1424099999999998E-2</v>
      </c>
      <c r="D27">
        <v>0.28513315</v>
      </c>
      <c r="E27">
        <v>-0.10807643</v>
      </c>
      <c r="F27">
        <v>-3.0389843999999999E-2</v>
      </c>
      <c r="G27">
        <v>0.17988361</v>
      </c>
      <c r="H27">
        <v>8.9834960000000005E-2</v>
      </c>
      <c r="I27">
        <v>0.26028301999999998</v>
      </c>
      <c r="J27">
        <v>0.11726812</v>
      </c>
      <c r="K27">
        <v>-3.6995805999999999E-2</v>
      </c>
      <c r="L27">
        <v>4.2898579999999999E-2</v>
      </c>
      <c r="M27">
        <v>0.32208392000000002</v>
      </c>
      <c r="N27">
        <v>-7.0242020000000002E-2</v>
      </c>
      <c r="O27">
        <v>-0.116948776</v>
      </c>
      <c r="P27">
        <v>0.10747272500000001</v>
      </c>
      <c r="Q27">
        <v>-3.9156272999999998E-2</v>
      </c>
      <c r="R27">
        <v>5.9462804000000001E-2</v>
      </c>
      <c r="S27">
        <v>-2.5116874000000001E-2</v>
      </c>
      <c r="T27">
        <v>-4.6413606E-3</v>
      </c>
      <c r="U27">
        <v>0.12140036</v>
      </c>
      <c r="V27">
        <v>0.10725945000000001</v>
      </c>
      <c r="W27">
        <v>2.048519E-2</v>
      </c>
      <c r="X27">
        <v>0.20258255</v>
      </c>
      <c r="Y27">
        <v>3.9040329999999998E-2</v>
      </c>
      <c r="Z27">
        <v>-0.12861484000000001</v>
      </c>
      <c r="AA27">
        <v>8.3512950000000002E-2</v>
      </c>
      <c r="AB27">
        <v>-6.7692619999999995E-2</v>
      </c>
      <c r="AC27">
        <v>-1.0407137E-2</v>
      </c>
      <c r="AD27">
        <v>0.14134203000000001</v>
      </c>
      <c r="AE27">
        <v>0.17378114</v>
      </c>
      <c r="AF27">
        <v>-0.12275533399999999</v>
      </c>
      <c r="AG27">
        <v>-6.0508463999999998E-2</v>
      </c>
      <c r="AH27">
        <v>0.21954101000000001</v>
      </c>
      <c r="AI27">
        <v>-0.11354883</v>
      </c>
      <c r="AJ27">
        <v>0.24395510000000001</v>
      </c>
      <c r="AK27">
        <v>-0.19315867</v>
      </c>
      <c r="AL27">
        <v>0.14059848999999999</v>
      </c>
      <c r="AM27">
        <v>-0.13271326</v>
      </c>
      <c r="AN27">
        <v>5.8469646E-2</v>
      </c>
      <c r="AO27">
        <v>0.11897731</v>
      </c>
      <c r="AP27">
        <v>0.17660074000000001</v>
      </c>
      <c r="AQ27">
        <v>8.7034749999999994E-2</v>
      </c>
      <c r="AR27">
        <v>-1.9773822E-2</v>
      </c>
      <c r="AS27">
        <v>0.1357264</v>
      </c>
      <c r="AT27">
        <v>1.7803958000000002E-2</v>
      </c>
      <c r="AU27">
        <v>-0.15768176</v>
      </c>
      <c r="AV27">
        <v>-0.1028627</v>
      </c>
      <c r="AW27">
        <v>-1.3925440000000001E-2</v>
      </c>
      <c r="AX27">
        <v>1.2428585000000001E-2</v>
      </c>
      <c r="AY27">
        <v>-7.7247675999999998E-3</v>
      </c>
      <c r="AZ27">
        <v>-0.24271412000000001</v>
      </c>
      <c r="BA27">
        <v>-6.6042959999999998E-2</v>
      </c>
      <c r="BB27">
        <v>6.6314097000000002E-3</v>
      </c>
      <c r="BC27">
        <v>-0.14381058999999999</v>
      </c>
      <c r="BD27">
        <v>-5.5712454000000002E-2</v>
      </c>
      <c r="BE27">
        <v>2.4493563999999999E-2</v>
      </c>
      <c r="BF27">
        <v>0.102892786</v>
      </c>
      <c r="BG27">
        <v>0.11088352999999999</v>
      </c>
      <c r="BH27">
        <v>8.9047230000000005E-2</v>
      </c>
      <c r="BI27">
        <v>-6.0310910000000002E-2</v>
      </c>
      <c r="BJ27">
        <v>8.5448763999999996E-2</v>
      </c>
      <c r="BK27">
        <v>0.18876035999999999</v>
      </c>
      <c r="BL27">
        <v>-2.6674214999999999E-3</v>
      </c>
      <c r="BM27">
        <v>0.24251942000000001</v>
      </c>
      <c r="BN27">
        <v>0.27504778000000002</v>
      </c>
      <c r="BO27">
        <v>5.8573432000000002E-2</v>
      </c>
      <c r="BP27">
        <v>0.18794087000000001</v>
      </c>
      <c r="BQ27">
        <v>2.4523407000000001E-2</v>
      </c>
      <c r="BR27">
        <v>-9.9111850000000001E-2</v>
      </c>
      <c r="BS27">
        <v>0.11358253</v>
      </c>
      <c r="BT27">
        <v>7.9932379999999997E-3</v>
      </c>
      <c r="BU27">
        <v>-5.7873550000000003E-2</v>
      </c>
      <c r="BV27">
        <v>-3.85403E-2</v>
      </c>
      <c r="BW27">
        <v>-5.2717670000000001E-2</v>
      </c>
      <c r="BX27">
        <v>-5.6347392000000003E-2</v>
      </c>
      <c r="BY27">
        <v>0.16314012999999999</v>
      </c>
      <c r="BZ27">
        <v>0.10607351</v>
      </c>
      <c r="CA27">
        <v>0.18288979999999999</v>
      </c>
      <c r="CB27">
        <v>-3.5301590000000001E-2</v>
      </c>
      <c r="CC27">
        <v>0.10555349</v>
      </c>
      <c r="CD27">
        <v>-2.4423574999999999E-2</v>
      </c>
      <c r="CE27">
        <v>0.14400210999999999</v>
      </c>
      <c r="CF27">
        <v>-9.7489980000000004E-2</v>
      </c>
      <c r="CG27">
        <v>1.0709854E-2</v>
      </c>
      <c r="CH27">
        <v>-8.6494035999999996E-2</v>
      </c>
      <c r="CI27">
        <v>3.6656912E-2</v>
      </c>
      <c r="CJ27">
        <v>-0.18150240000000001</v>
      </c>
      <c r="CK27">
        <v>0.19331975000000001</v>
      </c>
      <c r="CL27">
        <v>-1.3721021E-2</v>
      </c>
      <c r="CM27">
        <v>1.1503976000000001E-2</v>
      </c>
      <c r="CN27">
        <v>0.11065181</v>
      </c>
      <c r="CO27">
        <v>-9.8352350000000005E-2</v>
      </c>
      <c r="CP27">
        <v>-3.5196193000000001E-2</v>
      </c>
      <c r="CQ27">
        <v>-0.20248018000000001</v>
      </c>
      <c r="CR27">
        <v>4.4518050000000003E-2</v>
      </c>
      <c r="CS27">
        <v>-2.2172589999999999E-2</v>
      </c>
      <c r="CT27">
        <v>-3.0743882E-2</v>
      </c>
      <c r="CU27">
        <v>-4.7775377000000001E-2</v>
      </c>
      <c r="CV27">
        <v>0.14280012</v>
      </c>
      <c r="CW27">
        <v>-2.1279280000000001E-2</v>
      </c>
      <c r="CX27">
        <v>-5.1203976999999998E-2</v>
      </c>
      <c r="CY27">
        <v>-2.0052185E-2</v>
      </c>
      <c r="CZ27">
        <v>6.7759682000000003E-3</v>
      </c>
      <c r="DA27">
        <v>8.9229600000000006E-2</v>
      </c>
      <c r="DB27">
        <v>5.3771354E-2</v>
      </c>
      <c r="DC27">
        <v>-3.8473234000000002E-2</v>
      </c>
      <c r="DD27">
        <v>0.10560048</v>
      </c>
      <c r="DE27">
        <v>2.5160326E-2</v>
      </c>
      <c r="DF27">
        <v>0.1417504</v>
      </c>
      <c r="DG27">
        <v>-0.12557716999999999</v>
      </c>
      <c r="DH27">
        <v>-6.7176394E-2</v>
      </c>
      <c r="DI27">
        <v>5.0268065000000001E-2</v>
      </c>
      <c r="DJ27">
        <v>-0.14496176999999999</v>
      </c>
      <c r="DK27">
        <v>0.24244842999999999</v>
      </c>
      <c r="DL27">
        <v>0.17534985</v>
      </c>
      <c r="DM27">
        <v>0.1149496</v>
      </c>
      <c r="DN27">
        <v>7.4792289999999997E-2</v>
      </c>
      <c r="DO27">
        <v>9.1656000000000001E-2</v>
      </c>
      <c r="DP27">
        <v>-4.5300769999999997E-2</v>
      </c>
      <c r="DQ27">
        <v>-1.8076345000000001E-2</v>
      </c>
      <c r="DR27">
        <v>2.1653242E-2</v>
      </c>
      <c r="DS27">
        <v>-0.25834944999999998</v>
      </c>
      <c r="DT27">
        <v>0.26033822000000001</v>
      </c>
      <c r="DU27">
        <v>-0.18649468</v>
      </c>
      <c r="DV27">
        <v>0.13894412</v>
      </c>
      <c r="DW27">
        <v>0.13071705</v>
      </c>
      <c r="DX27">
        <v>-0.15209713999999999</v>
      </c>
      <c r="DY27">
        <v>-0.18364957000000001</v>
      </c>
      <c r="DZ27">
        <v>7.5271519999999996E-3</v>
      </c>
    </row>
    <row r="28" spans="1:130" x14ac:dyDescent="0.3">
      <c r="A28">
        <f>Board!$B$4</f>
        <v>0</v>
      </c>
      <c r="C28">
        <v>8.6360216000000004E-2</v>
      </c>
      <c r="D28">
        <v>1.4779578E-2</v>
      </c>
      <c r="E28">
        <v>-0.11983572000000001</v>
      </c>
      <c r="F28">
        <v>5.0862949999999997E-2</v>
      </c>
      <c r="G28">
        <v>-0.11583727000000001</v>
      </c>
      <c r="H28">
        <v>-7.067292E-2</v>
      </c>
      <c r="I28">
        <v>-5.6644822999999997E-2</v>
      </c>
      <c r="J28">
        <v>-0.114343375</v>
      </c>
      <c r="K28">
        <v>4.5259353000000002E-2</v>
      </c>
      <c r="L28">
        <v>-3.7689537000000002E-2</v>
      </c>
      <c r="M28">
        <v>-0.13854786999999999</v>
      </c>
      <c r="N28">
        <v>-0.13643991999999999</v>
      </c>
      <c r="O28">
        <v>-0.12245412999999999</v>
      </c>
      <c r="P28">
        <v>-4.5780237000000003E-3</v>
      </c>
      <c r="Q28">
        <v>-2.3843538000000001E-2</v>
      </c>
      <c r="R28">
        <v>0.103238784</v>
      </c>
      <c r="S28">
        <v>-3.1842276000000003E-2</v>
      </c>
      <c r="T28">
        <v>1.7500542000000001E-2</v>
      </c>
      <c r="U28">
        <v>-6.8762370000000003E-2</v>
      </c>
      <c r="V28">
        <v>5.1044970000000002E-2</v>
      </c>
      <c r="W28">
        <v>5.1905073000000003E-2</v>
      </c>
      <c r="X28">
        <v>1.8814668E-2</v>
      </c>
      <c r="Y28">
        <v>-2.7616762E-2</v>
      </c>
      <c r="Z28">
        <v>1.9988216E-2</v>
      </c>
      <c r="AA28">
        <v>3.5471660000000002E-2</v>
      </c>
      <c r="AB28">
        <v>8.6081854999999999E-2</v>
      </c>
      <c r="AC28">
        <v>-8.9196300000000006E-2</v>
      </c>
      <c r="AD28">
        <v>-3.1027889999999999E-2</v>
      </c>
      <c r="AE28">
        <v>6.412706E-2</v>
      </c>
      <c r="AF28">
        <v>8.53376E-2</v>
      </c>
      <c r="AG28">
        <v>-2.0439873000000001E-2</v>
      </c>
      <c r="AH28">
        <v>-0.17393948000000001</v>
      </c>
      <c r="AI28">
        <v>8.9662490000000008E-3</v>
      </c>
      <c r="AJ28">
        <v>7.7645370000000005E-2</v>
      </c>
      <c r="AK28">
        <v>7.7253779999999994E-2</v>
      </c>
      <c r="AL28">
        <v>0.14486504</v>
      </c>
      <c r="AM28">
        <v>-0.10971160000000001</v>
      </c>
      <c r="AN28">
        <v>0.21259818999999999</v>
      </c>
      <c r="AO28">
        <v>0.10943733999999999</v>
      </c>
      <c r="AP28">
        <v>0.14999883999999999</v>
      </c>
      <c r="AQ28">
        <v>4.0776998000000002E-2</v>
      </c>
      <c r="AR28">
        <v>-7.8613240000000001E-2</v>
      </c>
      <c r="AS28">
        <v>3.4081994999999997E-2</v>
      </c>
      <c r="AT28">
        <v>-0.13760774000000001</v>
      </c>
      <c r="AU28">
        <v>5.3851839999999998E-2</v>
      </c>
      <c r="AV28">
        <v>-1.092212E-3</v>
      </c>
      <c r="AW28">
        <v>0.10219966</v>
      </c>
      <c r="AX28">
        <v>-8.6566165E-2</v>
      </c>
      <c r="AY28">
        <v>-0.14445125</v>
      </c>
      <c r="AZ28">
        <v>-1.051246E-2</v>
      </c>
      <c r="BA28">
        <v>7.6646790000000006E-2</v>
      </c>
      <c r="BB28">
        <v>7.8268684000000005E-2</v>
      </c>
      <c r="BC28">
        <v>1.2670195E-2</v>
      </c>
      <c r="BD28">
        <v>9.6295389999999995E-2</v>
      </c>
      <c r="BE28">
        <v>-0.17858863999999999</v>
      </c>
      <c r="BF28">
        <v>0.16009854000000001</v>
      </c>
      <c r="BG28">
        <v>0.1084871</v>
      </c>
      <c r="BH28">
        <v>3.8056288000000001E-2</v>
      </c>
      <c r="BI28">
        <v>1.5349148999999999E-2</v>
      </c>
      <c r="BJ28">
        <v>-8.0658465999999998E-2</v>
      </c>
      <c r="BK28">
        <v>5.9984386000000001E-2</v>
      </c>
      <c r="BL28">
        <v>-0.12517263000000001</v>
      </c>
      <c r="BM28">
        <v>7.202923E-2</v>
      </c>
      <c r="BN28">
        <v>-4.8136175000000003E-2</v>
      </c>
      <c r="BO28">
        <v>-0.101450264</v>
      </c>
      <c r="BP28">
        <v>3.44654E-2</v>
      </c>
      <c r="BQ28">
        <v>2.1692668000000001E-4</v>
      </c>
      <c r="BR28">
        <v>-6.0002345999999998E-2</v>
      </c>
      <c r="BS28">
        <v>0.13010389999999999</v>
      </c>
      <c r="BT28">
        <v>-4.5449150000000001E-2</v>
      </c>
      <c r="BU28">
        <v>7.9764130000000003E-2</v>
      </c>
      <c r="BV28">
        <v>6.9431043999999997E-2</v>
      </c>
      <c r="BW28">
        <v>0.13770974</v>
      </c>
      <c r="BX28">
        <v>-2.2288711999999999E-2</v>
      </c>
      <c r="BY28">
        <v>7.5203889999999995E-2</v>
      </c>
      <c r="BZ28">
        <v>8.0251310000000006E-2</v>
      </c>
      <c r="CA28">
        <v>-1.0630185E-2</v>
      </c>
      <c r="CB28">
        <v>0.15918950000000001</v>
      </c>
      <c r="CC28">
        <v>-0.104988</v>
      </c>
      <c r="CD28">
        <v>-5.0931714000000003E-2</v>
      </c>
      <c r="CE28">
        <v>-9.9564330000000006E-2</v>
      </c>
      <c r="CF28">
        <v>0.13182920000000001</v>
      </c>
      <c r="CG28">
        <v>-8.9088390000000003E-2</v>
      </c>
      <c r="CH28">
        <v>0.13093606999999999</v>
      </c>
      <c r="CI28">
        <v>2.7351644000000001E-2</v>
      </c>
      <c r="CJ28">
        <v>4.1356504000000002E-2</v>
      </c>
      <c r="CK28">
        <v>2.4897294E-2</v>
      </c>
      <c r="CL28">
        <v>0.19651061</v>
      </c>
      <c r="CM28">
        <v>-0.14082702999999999</v>
      </c>
      <c r="CN28">
        <v>0.14543320000000001</v>
      </c>
      <c r="CO28">
        <v>-7.5642899999999999E-2</v>
      </c>
      <c r="CP28">
        <v>-5.2662639999999997E-2</v>
      </c>
      <c r="CQ28">
        <v>8.2341700000000004E-2</v>
      </c>
      <c r="CR28">
        <v>3.2568246000000002E-2</v>
      </c>
      <c r="CS28">
        <v>0.14886336</v>
      </c>
      <c r="CT28">
        <v>-9.6343613999999994E-2</v>
      </c>
      <c r="CU28">
        <v>-9.4577834E-2</v>
      </c>
      <c r="CV28">
        <v>0.13758639</v>
      </c>
      <c r="CW28">
        <v>2.6636086E-2</v>
      </c>
      <c r="CX28">
        <v>-4.9566876000000003E-2</v>
      </c>
      <c r="CY28">
        <v>4.2804090000000003E-2</v>
      </c>
      <c r="CZ28">
        <v>-2.6254087999999998E-2</v>
      </c>
      <c r="DA28">
        <v>0.11428608</v>
      </c>
      <c r="DB28">
        <v>-1.0066166999999999E-3</v>
      </c>
      <c r="DC28">
        <v>-0.14293539999999999</v>
      </c>
      <c r="DD28">
        <v>8.4959750000000001E-2</v>
      </c>
      <c r="DE28">
        <v>1.1734039999999999E-2</v>
      </c>
      <c r="DF28">
        <v>-1.3023557000000001E-3</v>
      </c>
      <c r="DG28">
        <v>-5.8987449999999997E-2</v>
      </c>
      <c r="DH28">
        <v>0.14115586999999999</v>
      </c>
      <c r="DI28">
        <v>-6.8594760000000005E-2</v>
      </c>
      <c r="DJ28">
        <v>-7.7459104000000001E-2</v>
      </c>
      <c r="DK28">
        <v>-9.9568409999999996E-2</v>
      </c>
      <c r="DL28">
        <v>2.0358155999999999E-2</v>
      </c>
      <c r="DM28">
        <v>6.0192599999999999E-2</v>
      </c>
      <c r="DN28">
        <v>1.4461194E-2</v>
      </c>
      <c r="DO28">
        <v>-3.4148301999999998E-2</v>
      </c>
      <c r="DP28">
        <v>6.4435779999999998E-2</v>
      </c>
      <c r="DQ28">
        <v>4.5366629999999998E-2</v>
      </c>
      <c r="DR28">
        <v>-9.9431775999999999E-2</v>
      </c>
      <c r="DS28">
        <v>-1.4598004499999999E-2</v>
      </c>
      <c r="DT28">
        <v>-1.1630828500000001E-2</v>
      </c>
      <c r="DU28">
        <v>2.2951912000000001E-2</v>
      </c>
      <c r="DV28">
        <v>0.11664276599999999</v>
      </c>
      <c r="DW28">
        <v>0.15581202999999999</v>
      </c>
      <c r="DX28">
        <v>-0.14846240999999999</v>
      </c>
      <c r="DY28">
        <v>-1.8487696000000001E-2</v>
      </c>
      <c r="DZ28">
        <v>-4.5430644999999999E-2</v>
      </c>
    </row>
    <row r="29" spans="1:130" x14ac:dyDescent="0.3">
      <c r="A29">
        <f>Board!$C$4</f>
        <v>0</v>
      </c>
      <c r="C29">
        <v>9.1530819999999999E-2</v>
      </c>
      <c r="D29">
        <v>-0.28594416</v>
      </c>
      <c r="E29">
        <v>5.7885189999999998E-3</v>
      </c>
      <c r="F29">
        <v>-4.0158060000000002E-2</v>
      </c>
      <c r="G29">
        <v>-6.5745449999999997E-2</v>
      </c>
      <c r="H29">
        <v>-1.4751347999999999E-2</v>
      </c>
      <c r="I29">
        <v>-0.26589802000000001</v>
      </c>
      <c r="J29">
        <v>0.14423338999999999</v>
      </c>
      <c r="K29">
        <v>0.12451472</v>
      </c>
      <c r="L29">
        <v>9.6197560000000001E-2</v>
      </c>
      <c r="M29">
        <v>-4.5444964999999997E-2</v>
      </c>
      <c r="N29">
        <v>8.8190009999999999E-2</v>
      </c>
      <c r="O29">
        <v>2.0884608999999998E-2</v>
      </c>
      <c r="P29">
        <v>4.6774320000000001E-2</v>
      </c>
      <c r="Q29">
        <v>8.9370779999999997E-2</v>
      </c>
      <c r="R29">
        <v>-0.14080326000000001</v>
      </c>
      <c r="S29">
        <v>-4.1594579999999999E-2</v>
      </c>
      <c r="T29">
        <v>-2.4880636000000001E-2</v>
      </c>
      <c r="U29">
        <v>-5.2284624000000002E-2</v>
      </c>
      <c r="V29">
        <v>0.22087689999999999</v>
      </c>
      <c r="W29">
        <v>0.30202836</v>
      </c>
      <c r="X29">
        <v>-0.15521673999999999</v>
      </c>
      <c r="Y29">
        <v>-4.0818363000000003E-2</v>
      </c>
      <c r="Z29">
        <v>-0.25697323999999999</v>
      </c>
      <c r="AA29">
        <v>0.15943774999999999</v>
      </c>
      <c r="AB29">
        <v>0.35965487000000002</v>
      </c>
      <c r="AC29">
        <v>5.4192709999999998E-3</v>
      </c>
      <c r="AD29">
        <v>4.7758414999999999E-2</v>
      </c>
      <c r="AE29">
        <v>-8.4670159999999994E-2</v>
      </c>
      <c r="AF29">
        <v>-2.5289826000000001E-2</v>
      </c>
      <c r="AG29">
        <v>0.33400708000000001</v>
      </c>
      <c r="AH29">
        <v>-0.24439019000000001</v>
      </c>
      <c r="AI29">
        <v>-9.5074705999999995E-2</v>
      </c>
      <c r="AJ29">
        <v>-0.1154521</v>
      </c>
      <c r="AK29">
        <v>-1.0531944E-2</v>
      </c>
      <c r="AL29">
        <v>0.28391189999999999</v>
      </c>
      <c r="AM29">
        <v>-0.24370708999999999</v>
      </c>
      <c r="AN29">
        <v>0.29225580000000001</v>
      </c>
      <c r="AO29">
        <v>0.21188280000000001</v>
      </c>
      <c r="AP29">
        <v>6.3825935E-2</v>
      </c>
      <c r="AQ29">
        <v>-0.18623896000000001</v>
      </c>
      <c r="AR29">
        <v>0.14836595999999999</v>
      </c>
      <c r="AS29">
        <v>8.5822869999999996E-2</v>
      </c>
      <c r="AT29">
        <v>-1.2407631000000001E-2</v>
      </c>
      <c r="AU29">
        <v>-4.6666935E-2</v>
      </c>
      <c r="AV29">
        <v>-7.4167109999999994E-2</v>
      </c>
      <c r="AW29">
        <v>-0.121522956</v>
      </c>
      <c r="AX29">
        <v>-0.38399844999999999</v>
      </c>
      <c r="AY29">
        <v>-0.30504572000000002</v>
      </c>
      <c r="AZ29">
        <v>0.18845497</v>
      </c>
      <c r="BA29">
        <v>-4.7985180000000002E-2</v>
      </c>
      <c r="BB29">
        <v>0.12368749</v>
      </c>
      <c r="BC29">
        <v>9.833393E-2</v>
      </c>
      <c r="BD29">
        <v>-0.16027797999999999</v>
      </c>
      <c r="BE29">
        <v>0.10598812000000001</v>
      </c>
      <c r="BF29">
        <v>-0.19800282999999999</v>
      </c>
      <c r="BG29">
        <v>-5.1829844999999999E-2</v>
      </c>
      <c r="BH29">
        <v>-2.9940655E-2</v>
      </c>
      <c r="BI29">
        <v>8.7282843999999998E-2</v>
      </c>
      <c r="BJ29">
        <v>-2.3046642999999999E-2</v>
      </c>
      <c r="BK29">
        <v>-3.6257334000000002E-2</v>
      </c>
      <c r="BL29">
        <v>9.5541365000000003E-2</v>
      </c>
      <c r="BM29">
        <v>2.9617736999999998E-3</v>
      </c>
      <c r="BN29">
        <v>2.1954411999999999E-3</v>
      </c>
      <c r="BO29">
        <v>0.23070376000000001</v>
      </c>
      <c r="BP29">
        <v>-1.5593541000000001E-2</v>
      </c>
      <c r="BQ29">
        <v>0.29091669999999997</v>
      </c>
      <c r="BR29">
        <v>-1.8938753999999999E-2</v>
      </c>
      <c r="BS29">
        <v>-0.19881493</v>
      </c>
      <c r="BT29">
        <v>0.13540721</v>
      </c>
      <c r="BU29">
        <v>-6.1305456000000001E-2</v>
      </c>
      <c r="BV29">
        <v>0.1730392</v>
      </c>
      <c r="BW29">
        <v>0.43698803000000003</v>
      </c>
      <c r="BX29">
        <v>-0.19295905999999999</v>
      </c>
      <c r="BY29">
        <v>-1.6146108999999999E-2</v>
      </c>
      <c r="BZ29">
        <v>4.6311541999999997E-2</v>
      </c>
      <c r="CA29">
        <v>3.7653029999999997E-2</v>
      </c>
      <c r="CB29">
        <v>-1.2310978E-2</v>
      </c>
      <c r="CC29">
        <v>0.34065232000000001</v>
      </c>
      <c r="CD29">
        <v>8.1088770000000004E-2</v>
      </c>
      <c r="CE29">
        <v>0.118250936</v>
      </c>
      <c r="CF29">
        <v>0.12506738000000001</v>
      </c>
      <c r="CG29">
        <v>9.406581E-2</v>
      </c>
      <c r="CH29">
        <v>-0.11940387</v>
      </c>
      <c r="CI29">
        <v>-0.11666267</v>
      </c>
      <c r="CJ29">
        <v>-0.13495869999999999</v>
      </c>
      <c r="CK29">
        <v>2.8304912000000002E-3</v>
      </c>
      <c r="CL29">
        <v>0.10463231000000001</v>
      </c>
      <c r="CM29">
        <v>-0.10267353</v>
      </c>
      <c r="CN29">
        <v>0.25828665000000001</v>
      </c>
      <c r="CO29">
        <v>-0.11046684499999999</v>
      </c>
      <c r="CP29">
        <v>2.1066502000000001E-2</v>
      </c>
      <c r="CQ29">
        <v>9.9875759999999997E-3</v>
      </c>
      <c r="CR29">
        <v>-0.11791139</v>
      </c>
      <c r="CS29">
        <v>0.13640100999999999</v>
      </c>
      <c r="CT29">
        <v>3.5532519999999998E-2</v>
      </c>
      <c r="CU29">
        <v>-3.9644989999999998E-3</v>
      </c>
      <c r="CV29">
        <v>0.11251588</v>
      </c>
      <c r="CW29">
        <v>-0.21175577000000001</v>
      </c>
      <c r="CX29">
        <v>-9.0532500000000002E-2</v>
      </c>
      <c r="CY29">
        <v>0.21413716999999999</v>
      </c>
      <c r="CZ29">
        <v>-6.0502912999999998E-2</v>
      </c>
      <c r="DA29">
        <v>-0.1740893</v>
      </c>
      <c r="DB29">
        <v>0.30328709999999998</v>
      </c>
      <c r="DC29">
        <v>-0.23784712999999999</v>
      </c>
      <c r="DD29">
        <v>-0.30208995999999999</v>
      </c>
      <c r="DE29">
        <v>8.1348589999999998E-2</v>
      </c>
      <c r="DF29">
        <v>0.24244850000000001</v>
      </c>
      <c r="DG29">
        <v>-0.21000119</v>
      </c>
      <c r="DH29">
        <v>-0.39690829999999999</v>
      </c>
      <c r="DI29">
        <v>-0.10794091</v>
      </c>
      <c r="DJ29">
        <v>1.9780467999999999E-2</v>
      </c>
      <c r="DK29">
        <v>-9.3961699999999995E-2</v>
      </c>
      <c r="DL29">
        <v>-0.17751459999999999</v>
      </c>
      <c r="DM29">
        <v>-0.30776006</v>
      </c>
      <c r="DN29">
        <v>-2.3232550000000001E-2</v>
      </c>
      <c r="DO29">
        <v>-6.0447543999999999E-2</v>
      </c>
      <c r="DP29">
        <v>0.14745763000000001</v>
      </c>
      <c r="DQ29">
        <v>3.3373944000000003E-2</v>
      </c>
      <c r="DR29">
        <v>0.17774931999999999</v>
      </c>
      <c r="DS29">
        <v>3.6432758000000003E-2</v>
      </c>
      <c r="DT29">
        <v>-0.26658374000000001</v>
      </c>
      <c r="DU29">
        <v>-0.11062279999999999</v>
      </c>
      <c r="DV29">
        <v>-4.8964689999999998E-2</v>
      </c>
      <c r="DW29">
        <v>0.16135405999999999</v>
      </c>
      <c r="DX29">
        <v>0.10193036</v>
      </c>
      <c r="DY29">
        <v>0.18177152999999999</v>
      </c>
      <c r="DZ29">
        <v>0.19455028999999999</v>
      </c>
    </row>
    <row r="30" spans="1:130" x14ac:dyDescent="0.3">
      <c r="A30">
        <f>Board!$D$4</f>
        <v>0</v>
      </c>
      <c r="C30">
        <v>-0.18758184</v>
      </c>
      <c r="D30">
        <v>-5.104388E-2</v>
      </c>
      <c r="E30">
        <v>-0.12438631</v>
      </c>
      <c r="F30">
        <v>0.20234165000000001</v>
      </c>
      <c r="G30">
        <v>3.7287313000000002E-2</v>
      </c>
      <c r="H30">
        <v>-0.21343169000000001</v>
      </c>
      <c r="I30">
        <v>-8.1867190000000006E-2</v>
      </c>
      <c r="J30">
        <v>0.15392339999999999</v>
      </c>
      <c r="K30">
        <v>3.6583190000000002E-3</v>
      </c>
      <c r="L30">
        <v>-0.26856193</v>
      </c>
      <c r="M30">
        <v>-0.29216066000000002</v>
      </c>
      <c r="N30">
        <v>0.24487047000000001</v>
      </c>
      <c r="O30">
        <v>-5.6030627E-2</v>
      </c>
      <c r="P30">
        <v>-1.3164587E-2</v>
      </c>
      <c r="Q30">
        <v>0.12826066</v>
      </c>
      <c r="R30">
        <v>-0.30496477999999999</v>
      </c>
      <c r="S30">
        <v>-0.25694832000000001</v>
      </c>
      <c r="T30">
        <v>-2.9895121E-2</v>
      </c>
      <c r="U30">
        <v>-7.6971380000000006E-2</v>
      </c>
      <c r="V30">
        <v>8.2139379999999998E-2</v>
      </c>
      <c r="W30">
        <v>0.27476435999999999</v>
      </c>
      <c r="X30">
        <v>-0.33028953999999999</v>
      </c>
      <c r="Y30">
        <v>0.11540108</v>
      </c>
      <c r="Z30">
        <v>-0.41181760000000001</v>
      </c>
      <c r="AA30">
        <v>0.17205401000000001</v>
      </c>
      <c r="AB30">
        <v>0.28433006999999999</v>
      </c>
      <c r="AC30">
        <v>0.17589077</v>
      </c>
      <c r="AD30">
        <v>0.26966037999999998</v>
      </c>
      <c r="AE30">
        <v>3.7313722000000001E-2</v>
      </c>
      <c r="AF30">
        <v>-8.0231730000000001E-2</v>
      </c>
      <c r="AG30">
        <v>0.29590598000000001</v>
      </c>
      <c r="AH30">
        <v>-6.4704059999999994E-2</v>
      </c>
      <c r="AI30">
        <v>0.109721124</v>
      </c>
      <c r="AJ30">
        <v>6.3105579999999994E-2</v>
      </c>
      <c r="AK30">
        <v>-0.10652518</v>
      </c>
      <c r="AL30">
        <v>0.24835756</v>
      </c>
      <c r="AM30">
        <v>-7.5797470000000006E-2</v>
      </c>
      <c r="AN30">
        <v>5.0650550000000003E-2</v>
      </c>
      <c r="AO30">
        <v>0.13065568999999999</v>
      </c>
      <c r="AP30">
        <v>6.0506421999999997E-2</v>
      </c>
      <c r="AQ30">
        <v>-6.3294149999999993E-2</v>
      </c>
      <c r="AR30">
        <v>7.7418169999999994E-2</v>
      </c>
      <c r="AS30">
        <v>-0.15215637000000001</v>
      </c>
      <c r="AT30">
        <v>0.26510592999999999</v>
      </c>
      <c r="AU30">
        <v>9.1798656000000006E-2</v>
      </c>
      <c r="AV30">
        <v>3.4506542000000001E-3</v>
      </c>
      <c r="AW30">
        <v>0.13750538000000001</v>
      </c>
      <c r="AX30">
        <v>4.7886329999999998E-2</v>
      </c>
      <c r="AY30">
        <v>-0.17933065000000001</v>
      </c>
      <c r="AZ30">
        <v>-6.8340360000000003E-2</v>
      </c>
      <c r="BA30">
        <v>0.21862714999999999</v>
      </c>
      <c r="BB30">
        <v>-6.6889740000000003E-2</v>
      </c>
      <c r="BC30">
        <v>-0.16641325000000001</v>
      </c>
      <c r="BD30">
        <v>-0.19694284000000001</v>
      </c>
      <c r="BE30">
        <v>0.12073158000000001</v>
      </c>
      <c r="BF30">
        <v>-0.11824672999999999</v>
      </c>
      <c r="BG30">
        <v>0.13643773000000001</v>
      </c>
      <c r="BH30">
        <v>-4.5884102999999999E-3</v>
      </c>
      <c r="BI30">
        <v>-3.2380440000000003E-2</v>
      </c>
      <c r="BJ30">
        <v>0.12543988</v>
      </c>
      <c r="BK30">
        <v>-0.13888036000000001</v>
      </c>
      <c r="BL30">
        <v>1.5610488E-2</v>
      </c>
      <c r="BM30">
        <v>-1.098668E-2</v>
      </c>
      <c r="BN30">
        <v>-1.0746604999999999E-2</v>
      </c>
      <c r="BO30">
        <v>6.2532715000000003E-2</v>
      </c>
      <c r="BP30">
        <v>0.13974127</v>
      </c>
      <c r="BQ30">
        <v>0.13111737000000001</v>
      </c>
      <c r="BR30">
        <v>-0.38529950000000002</v>
      </c>
      <c r="BS30">
        <v>-0.15739569</v>
      </c>
      <c r="BT30">
        <v>0.20753170000000001</v>
      </c>
      <c r="BU30">
        <v>-0.33168449999999999</v>
      </c>
      <c r="BV30">
        <v>-1.0579296E-2</v>
      </c>
      <c r="BW30">
        <v>0.24871567</v>
      </c>
      <c r="BX30">
        <v>-0.41206753000000002</v>
      </c>
      <c r="BY30">
        <v>-0.2030218</v>
      </c>
      <c r="BZ30">
        <v>-0.13903977000000001</v>
      </c>
      <c r="CA30">
        <v>-2.4558125E-2</v>
      </c>
      <c r="CB30">
        <v>0.15014036</v>
      </c>
      <c r="CC30">
        <v>0.21730969999999999</v>
      </c>
      <c r="CD30">
        <v>6.6298746000000006E-2</v>
      </c>
      <c r="CE30">
        <v>0.14137946000000001</v>
      </c>
      <c r="CF30">
        <v>6.6004859999999999E-2</v>
      </c>
      <c r="CG30">
        <v>0.26382113000000001</v>
      </c>
      <c r="CH30">
        <v>0.13166177000000001</v>
      </c>
      <c r="CI30">
        <v>-7.8656649999999995E-2</v>
      </c>
      <c r="CJ30">
        <v>-0.20388259</v>
      </c>
      <c r="CK30">
        <v>9.9807950000000006E-3</v>
      </c>
      <c r="CL30">
        <v>0.117898025</v>
      </c>
      <c r="CM30">
        <v>-7.6819369999999998E-2</v>
      </c>
      <c r="CN30">
        <v>0.25409665999999997</v>
      </c>
      <c r="CO30">
        <v>-0.115952</v>
      </c>
      <c r="CP30">
        <v>1.3448615000000001E-2</v>
      </c>
      <c r="CQ30">
        <v>-2.3632207999999998E-2</v>
      </c>
      <c r="CR30">
        <v>-1.3245376E-2</v>
      </c>
      <c r="CS30">
        <v>-0.13051473</v>
      </c>
      <c r="CT30">
        <v>-6.5418519999999999E-3</v>
      </c>
      <c r="CU30">
        <v>-5.7636554999999999E-2</v>
      </c>
      <c r="CV30">
        <v>-5.4710858000000001E-2</v>
      </c>
      <c r="CW30">
        <v>-5.2285597000000003E-2</v>
      </c>
      <c r="CX30">
        <v>-0.31531903</v>
      </c>
      <c r="CY30">
        <v>6.2096864000000002E-2</v>
      </c>
      <c r="CZ30">
        <v>6.7871920000000001E-3</v>
      </c>
      <c r="DA30">
        <v>-7.4304350000000005E-2</v>
      </c>
      <c r="DB30">
        <v>0.100961834</v>
      </c>
      <c r="DC30">
        <v>-0.21543789999999999</v>
      </c>
      <c r="DD30">
        <v>-0.23667826</v>
      </c>
      <c r="DE30">
        <v>0.121486105</v>
      </c>
      <c r="DF30">
        <v>0.17751217999999999</v>
      </c>
      <c r="DG30">
        <v>-0.13459113</v>
      </c>
      <c r="DH30">
        <v>-0.28317350000000002</v>
      </c>
      <c r="DI30">
        <v>-0.16570960000000001</v>
      </c>
      <c r="DJ30">
        <v>0.14489350000000001</v>
      </c>
      <c r="DK30">
        <v>0.12361553</v>
      </c>
      <c r="DL30">
        <v>-0.20590857000000001</v>
      </c>
      <c r="DM30">
        <v>-9.0454145999999999E-2</v>
      </c>
      <c r="DN30">
        <v>0.14496154</v>
      </c>
      <c r="DO30">
        <v>0.15138552</v>
      </c>
      <c r="DP30">
        <v>-0.14677957</v>
      </c>
      <c r="DQ30">
        <v>-4.2250870000000003E-2</v>
      </c>
      <c r="DR30">
        <v>-0.14499554000000001</v>
      </c>
      <c r="DS30">
        <v>2.9299399999999998E-3</v>
      </c>
      <c r="DT30">
        <v>2.0193439000000001E-2</v>
      </c>
      <c r="DU30">
        <v>-7.5394063999999997E-2</v>
      </c>
      <c r="DV30">
        <v>-7.2924539999999996E-2</v>
      </c>
      <c r="DW30">
        <v>0.18254368000000001</v>
      </c>
      <c r="DX30">
        <v>0.27274211999999998</v>
      </c>
      <c r="DY30">
        <v>-7.0364850000000007E-2</v>
      </c>
      <c r="DZ30">
        <v>0.13242640999999999</v>
      </c>
    </row>
    <row r="31" spans="1:130" x14ac:dyDescent="0.3">
      <c r="A31">
        <f>Board!$E$4</f>
        <v>0</v>
      </c>
      <c r="C31">
        <v>-7.6284190000000002E-2</v>
      </c>
      <c r="D31">
        <v>-0.10178485499999999</v>
      </c>
      <c r="E31">
        <v>-0.18987069000000001</v>
      </c>
      <c r="F31">
        <v>0.17998771</v>
      </c>
      <c r="G31">
        <v>6.3406155000000006E-2</v>
      </c>
      <c r="H31">
        <v>-0.21393297999999999</v>
      </c>
      <c r="I31">
        <v>0.10695094600000001</v>
      </c>
      <c r="J31">
        <v>0.12653431000000001</v>
      </c>
      <c r="K31">
        <v>0.17174795000000001</v>
      </c>
      <c r="L31">
        <v>6.8759800000000003E-3</v>
      </c>
      <c r="M31">
        <v>6.0395148000000003E-2</v>
      </c>
      <c r="N31">
        <v>0.22187398</v>
      </c>
      <c r="O31">
        <v>3.0105514E-2</v>
      </c>
      <c r="P31">
        <v>-0.15493818000000001</v>
      </c>
      <c r="Q31">
        <v>0.19276989</v>
      </c>
      <c r="R31">
        <v>-0.21307950000000001</v>
      </c>
      <c r="S31">
        <v>-3.9374056999999997E-2</v>
      </c>
      <c r="T31">
        <v>1.098595E-2</v>
      </c>
      <c r="U31">
        <v>-0.20746017999999999</v>
      </c>
      <c r="V31">
        <v>0.26131462999999999</v>
      </c>
      <c r="W31">
        <v>0.18624940000000001</v>
      </c>
      <c r="X31">
        <v>-7.9772696000000004E-2</v>
      </c>
      <c r="Y31">
        <v>0.1793447</v>
      </c>
      <c r="Z31">
        <v>-0.4688349</v>
      </c>
      <c r="AA31">
        <v>0.25952277000000001</v>
      </c>
      <c r="AB31">
        <v>0.21385578999999999</v>
      </c>
      <c r="AC31">
        <v>0.28916803000000002</v>
      </c>
      <c r="AD31">
        <v>0.14841671000000001</v>
      </c>
      <c r="AE31">
        <v>0.18270771</v>
      </c>
      <c r="AF31">
        <v>-0.50872200000000001</v>
      </c>
      <c r="AG31">
        <v>0.39049307</v>
      </c>
      <c r="AH31">
        <v>-9.5416195999999995E-2</v>
      </c>
      <c r="AI31">
        <v>2.4559463000000002E-3</v>
      </c>
      <c r="AJ31">
        <v>4.7990890000000001E-2</v>
      </c>
      <c r="AK31">
        <v>-9.1735594000000004E-2</v>
      </c>
      <c r="AL31">
        <v>0.1756953</v>
      </c>
      <c r="AM31">
        <v>0.14231511999999999</v>
      </c>
      <c r="AN31">
        <v>6.9668869999999994E-2</v>
      </c>
      <c r="AO31">
        <v>0.10551123</v>
      </c>
      <c r="AP31">
        <v>7.1884690000000001E-2</v>
      </c>
      <c r="AQ31">
        <v>-9.7660944E-2</v>
      </c>
      <c r="AR31">
        <v>-0.12274938000000001</v>
      </c>
      <c r="AS31">
        <v>-0.13157269999999999</v>
      </c>
      <c r="AT31">
        <v>0.14194508</v>
      </c>
      <c r="AU31">
        <v>0.25172028000000002</v>
      </c>
      <c r="AV31">
        <v>-6.4358769999999996E-2</v>
      </c>
      <c r="AW31">
        <v>0.10216044000000001</v>
      </c>
      <c r="AX31">
        <v>-9.7412380000000007E-2</v>
      </c>
      <c r="AY31">
        <v>-0.15198916000000001</v>
      </c>
      <c r="AZ31">
        <v>-6.7198590000000002E-2</v>
      </c>
      <c r="BA31">
        <v>-4.6750559999999997E-2</v>
      </c>
      <c r="BB31">
        <v>-0.41268076999999997</v>
      </c>
      <c r="BC31">
        <v>-5.6479199999999999E-3</v>
      </c>
      <c r="BD31">
        <v>-0.22729136</v>
      </c>
      <c r="BE31">
        <v>-0.15746193</v>
      </c>
      <c r="BF31">
        <v>-0.29172045000000002</v>
      </c>
      <c r="BG31">
        <v>0.21456409000000001</v>
      </c>
      <c r="BH31">
        <v>2.9359533E-2</v>
      </c>
      <c r="BI31">
        <v>-0.16594571</v>
      </c>
      <c r="BJ31">
        <v>0.18581332</v>
      </c>
      <c r="BK31">
        <v>-3.8879975999999997E-2</v>
      </c>
      <c r="BL31">
        <v>-3.2855167999999997E-2</v>
      </c>
      <c r="BM31">
        <v>-4.3689690000000003E-2</v>
      </c>
      <c r="BN31">
        <v>0.12522633</v>
      </c>
      <c r="BO31">
        <v>0.26413396</v>
      </c>
      <c r="BP31">
        <v>-7.6335095000000006E-2</v>
      </c>
      <c r="BQ31">
        <v>0.106370114</v>
      </c>
      <c r="BR31">
        <v>-0.20780293999999999</v>
      </c>
      <c r="BS31">
        <v>-4.6221949999999999E-3</v>
      </c>
      <c r="BT31">
        <v>5.5113441999999999E-2</v>
      </c>
      <c r="BU31">
        <v>-0.66490249999999995</v>
      </c>
      <c r="BV31">
        <v>0.13615336</v>
      </c>
      <c r="BW31">
        <v>-8.4076780000000004E-2</v>
      </c>
      <c r="BX31">
        <v>-0.31521368</v>
      </c>
      <c r="BY31">
        <v>-0.15038267</v>
      </c>
      <c r="BZ31">
        <v>2.4489722999999999E-3</v>
      </c>
      <c r="CA31">
        <v>2.356923E-2</v>
      </c>
      <c r="CB31">
        <v>-8.1876530000000003E-2</v>
      </c>
      <c r="CC31">
        <v>-0.10193109</v>
      </c>
      <c r="CD31">
        <v>7.8278860000000006E-2</v>
      </c>
      <c r="CE31">
        <v>0.10799333999999999</v>
      </c>
      <c r="CF31">
        <v>0.14407685000000001</v>
      </c>
      <c r="CG31">
        <v>3.6872599999999998E-2</v>
      </c>
      <c r="CH31">
        <v>5.5500290000000001E-2</v>
      </c>
      <c r="CI31">
        <v>3.6811839999999998E-2</v>
      </c>
      <c r="CJ31">
        <v>-0.25490105000000002</v>
      </c>
      <c r="CK31">
        <v>2.4622390000000002E-3</v>
      </c>
      <c r="CL31">
        <v>0.16666763000000001</v>
      </c>
      <c r="CM31">
        <v>-0.27135379999999998</v>
      </c>
      <c r="CN31">
        <v>9.1487885000000005E-2</v>
      </c>
      <c r="CO31">
        <v>-0.13344101999999999</v>
      </c>
      <c r="CP31">
        <v>-0.15161471000000001</v>
      </c>
      <c r="CQ31">
        <v>-4.4277086999999996E-3</v>
      </c>
      <c r="CR31">
        <v>-0.34043255</v>
      </c>
      <c r="CS31">
        <v>-0.27544308000000001</v>
      </c>
      <c r="CT31">
        <v>6.6521330000000004E-2</v>
      </c>
      <c r="CU31">
        <v>0.114929825</v>
      </c>
      <c r="CV31">
        <v>-8.7445065000000002E-2</v>
      </c>
      <c r="CW31">
        <v>-0.14721476999999999</v>
      </c>
      <c r="CX31">
        <v>0.15026344</v>
      </c>
      <c r="CY31">
        <v>0.13527447000000001</v>
      </c>
      <c r="CZ31">
        <v>7.1347629999999995E-2</v>
      </c>
      <c r="DA31">
        <v>-8.27686E-4</v>
      </c>
      <c r="DB31">
        <v>0.17940434999999999</v>
      </c>
      <c r="DC31">
        <v>-0.26415866999999998</v>
      </c>
      <c r="DD31">
        <v>-0.31425705999999998</v>
      </c>
      <c r="DE31">
        <v>3.882041E-2</v>
      </c>
      <c r="DF31">
        <v>0.12983734999999999</v>
      </c>
      <c r="DG31">
        <v>-8.7640309999999999E-2</v>
      </c>
      <c r="DH31">
        <v>2.9867062E-2</v>
      </c>
      <c r="DI31">
        <v>-8.0447589999999999E-2</v>
      </c>
      <c r="DJ31">
        <v>7.7913289999999996E-2</v>
      </c>
      <c r="DK31">
        <v>1.4887475000000001E-3</v>
      </c>
      <c r="DL31">
        <v>-0.42435873000000002</v>
      </c>
      <c r="DM31">
        <v>5.9700009999999998E-2</v>
      </c>
      <c r="DN31">
        <v>-7.6385359999999999E-2</v>
      </c>
      <c r="DO31">
        <v>-2.1161486000000002E-3</v>
      </c>
      <c r="DP31">
        <v>-0.16734482000000001</v>
      </c>
      <c r="DQ31">
        <v>-8.4457750000000009E-3</v>
      </c>
      <c r="DR31">
        <v>-0.15639636000000001</v>
      </c>
      <c r="DS31">
        <v>-0.12413327</v>
      </c>
      <c r="DT31">
        <v>0.34773934000000001</v>
      </c>
      <c r="DU31">
        <v>7.9129790000000005E-3</v>
      </c>
      <c r="DV31">
        <v>-0.13027564999999999</v>
      </c>
      <c r="DW31">
        <v>2.4916138000000001E-2</v>
      </c>
      <c r="DX31">
        <v>8.8276709999999994E-2</v>
      </c>
      <c r="DY31">
        <v>2.6485671999999998E-2</v>
      </c>
      <c r="DZ31">
        <v>0.22230797999999999</v>
      </c>
    </row>
    <row r="32" spans="1:130" x14ac:dyDescent="0.3">
      <c r="A32">
        <f>Board!$F$4</f>
        <v>1</v>
      </c>
      <c r="C32">
        <v>-8.1349709999999995E-3</v>
      </c>
      <c r="D32">
        <v>0.15582494</v>
      </c>
      <c r="E32">
        <v>0.13320382</v>
      </c>
      <c r="F32">
        <v>-0.19835335000000001</v>
      </c>
      <c r="G32">
        <v>-4.002907E-2</v>
      </c>
      <c r="H32">
        <v>-9.2144019999999993E-2</v>
      </c>
      <c r="I32">
        <v>0.23255466</v>
      </c>
      <c r="J32">
        <v>0.15352173</v>
      </c>
      <c r="K32">
        <v>9.2451469999999994E-2</v>
      </c>
      <c r="L32">
        <v>0.14260663000000001</v>
      </c>
      <c r="M32">
        <v>0.14474048</v>
      </c>
      <c r="N32">
        <v>-0.57973549999999996</v>
      </c>
      <c r="O32">
        <v>2.3319290999999999E-2</v>
      </c>
      <c r="P32">
        <v>-7.4239579999999999E-2</v>
      </c>
      <c r="Q32">
        <v>0.12555245000000001</v>
      </c>
      <c r="R32">
        <v>-4.9414319999999999E-3</v>
      </c>
      <c r="S32">
        <v>9.9982660000000004E-3</v>
      </c>
      <c r="T32">
        <v>0.14605670000000001</v>
      </c>
      <c r="U32">
        <v>9.444572E-3</v>
      </c>
      <c r="V32">
        <v>0.11976857</v>
      </c>
      <c r="W32">
        <v>0.27044243000000001</v>
      </c>
      <c r="X32">
        <v>0.14242416999999999</v>
      </c>
      <c r="Y32">
        <v>0.22630475</v>
      </c>
      <c r="Z32">
        <v>-0.26705456</v>
      </c>
      <c r="AA32">
        <v>0.26602110000000001</v>
      </c>
      <c r="AB32">
        <v>7.7375689999999997E-2</v>
      </c>
      <c r="AC32">
        <v>4.7827367000000003E-2</v>
      </c>
      <c r="AD32">
        <v>3.774019E-2</v>
      </c>
      <c r="AE32">
        <v>0.24534470999999999</v>
      </c>
      <c r="AF32">
        <v>-0.48846492000000002</v>
      </c>
      <c r="AG32">
        <v>-5.6851126000000002E-2</v>
      </c>
      <c r="AH32">
        <v>-0.19358446000000001</v>
      </c>
      <c r="AI32">
        <v>8.6007534999999996E-2</v>
      </c>
      <c r="AJ32">
        <v>5.8270785999999996E-3</v>
      </c>
      <c r="AK32">
        <v>-3.2924059999999998E-2</v>
      </c>
      <c r="AL32">
        <v>0.22175291</v>
      </c>
      <c r="AM32">
        <v>0.10391283</v>
      </c>
      <c r="AN32">
        <v>0.17590201999999999</v>
      </c>
      <c r="AO32">
        <v>1.0340298E-2</v>
      </c>
      <c r="AP32">
        <v>9.8306223999999998E-2</v>
      </c>
      <c r="AQ32">
        <v>0.106268585</v>
      </c>
      <c r="AR32">
        <v>-0.111635946</v>
      </c>
      <c r="AS32">
        <v>-0.12894555999999999</v>
      </c>
      <c r="AT32">
        <v>-0.30809241999999998</v>
      </c>
      <c r="AU32">
        <v>0.13010353999999999</v>
      </c>
      <c r="AV32">
        <v>-1.8772629999999998E-2</v>
      </c>
      <c r="AW32">
        <v>0.12472318</v>
      </c>
      <c r="AX32">
        <v>3.4524098000000003E-2</v>
      </c>
      <c r="AY32">
        <v>7.2920664999999996E-2</v>
      </c>
      <c r="AZ32">
        <v>0.1359485</v>
      </c>
      <c r="BA32">
        <v>4.0771442999999997E-2</v>
      </c>
      <c r="BB32">
        <v>-0.26960567000000002</v>
      </c>
      <c r="BC32">
        <v>-0.25690940000000001</v>
      </c>
      <c r="BD32">
        <v>-0.115876175</v>
      </c>
      <c r="BE32">
        <v>-0.14778894000000001</v>
      </c>
      <c r="BF32">
        <v>-0.24425965999999999</v>
      </c>
      <c r="BG32">
        <v>-7.6487176000000004E-2</v>
      </c>
      <c r="BH32">
        <v>-7.1376999999999996E-2</v>
      </c>
      <c r="BI32">
        <v>-8.5553249999999997E-2</v>
      </c>
      <c r="BJ32">
        <v>3.4754196999999998E-3</v>
      </c>
      <c r="BK32">
        <v>5.513858E-2</v>
      </c>
      <c r="BL32">
        <v>9.3350105000000003E-2</v>
      </c>
      <c r="BM32">
        <v>-2.1528687000000001E-2</v>
      </c>
      <c r="BN32">
        <v>7.3622799999999997E-3</v>
      </c>
      <c r="BO32">
        <v>0.13591173000000001</v>
      </c>
      <c r="BP32">
        <v>-6.1669059999999998E-2</v>
      </c>
      <c r="BQ32">
        <v>-0.10749133</v>
      </c>
      <c r="BR32">
        <v>-0.19463685</v>
      </c>
      <c r="BS32">
        <v>-6.1927132000000003E-2</v>
      </c>
      <c r="BT32">
        <v>3.7287319999999999E-2</v>
      </c>
      <c r="BU32">
        <v>-0.40338635</v>
      </c>
      <c r="BV32">
        <v>-1.3524766000000001E-2</v>
      </c>
      <c r="BW32">
        <v>0.14769863</v>
      </c>
      <c r="BX32">
        <v>-0.1518929</v>
      </c>
      <c r="BY32">
        <v>-5.7069800000000002E-4</v>
      </c>
      <c r="BZ32">
        <v>5.2716125000000003E-2</v>
      </c>
      <c r="CA32">
        <v>4.5043510000000002E-2</v>
      </c>
      <c r="CB32">
        <v>8.5589349999999995E-2</v>
      </c>
      <c r="CC32">
        <v>-0.12618915999999999</v>
      </c>
      <c r="CD32">
        <v>8.2310969999999997E-2</v>
      </c>
      <c r="CE32">
        <v>0.17425009999999999</v>
      </c>
      <c r="CF32">
        <v>8.3500414999999995E-2</v>
      </c>
      <c r="CG32">
        <v>7.9764366000000003E-2</v>
      </c>
      <c r="CH32">
        <v>0.1575375</v>
      </c>
      <c r="CI32">
        <v>-5.4810079999999999E-3</v>
      </c>
      <c r="CJ32">
        <v>0.15905370999999999</v>
      </c>
      <c r="CK32">
        <v>6.9750539999999996E-3</v>
      </c>
      <c r="CL32">
        <v>6.7066920000000002E-2</v>
      </c>
      <c r="CM32">
        <v>-0.40767102999999999</v>
      </c>
      <c r="CN32">
        <v>0.11651342000000001</v>
      </c>
      <c r="CO32">
        <v>-1.9488484E-2</v>
      </c>
      <c r="CP32">
        <v>-0.14015895</v>
      </c>
      <c r="CQ32">
        <v>-8.4943749999999998E-2</v>
      </c>
      <c r="CR32">
        <v>-0.33628574</v>
      </c>
      <c r="CS32">
        <v>-0.25578036999999998</v>
      </c>
      <c r="CT32">
        <v>3.1115304999999999E-2</v>
      </c>
      <c r="CU32">
        <v>-8.3051899999999998E-2</v>
      </c>
      <c r="CV32">
        <v>-0.13974321000000001</v>
      </c>
      <c r="CW32">
        <v>1.5463062E-2</v>
      </c>
      <c r="CX32">
        <v>0.109842</v>
      </c>
      <c r="CY32">
        <v>-2.5748244999999999E-2</v>
      </c>
      <c r="CZ32">
        <v>-7.0088269999999994E-2</v>
      </c>
      <c r="DA32">
        <v>-4.7847777999999999E-3</v>
      </c>
      <c r="DB32">
        <v>6.0993924999999997E-2</v>
      </c>
      <c r="DC32">
        <v>-5.1924230000000002E-2</v>
      </c>
      <c r="DD32">
        <v>-0.40499055</v>
      </c>
      <c r="DE32">
        <v>0.16760365999999999</v>
      </c>
      <c r="DF32">
        <v>0.22449058</v>
      </c>
      <c r="DG32">
        <v>-0.14099634999999999</v>
      </c>
      <c r="DH32">
        <v>4.2280838000000001E-2</v>
      </c>
      <c r="DI32">
        <v>-8.6395659999999999E-2</v>
      </c>
      <c r="DJ32">
        <v>-2.9409595E-2</v>
      </c>
      <c r="DK32">
        <v>8.4522509999999995E-2</v>
      </c>
      <c r="DL32">
        <v>-9.3291120000000005E-2</v>
      </c>
      <c r="DM32">
        <v>-2.3121955E-2</v>
      </c>
      <c r="DN32">
        <v>-0.10206667</v>
      </c>
      <c r="DO32">
        <v>4.5802257999999998E-2</v>
      </c>
      <c r="DP32">
        <v>-0.26202490000000001</v>
      </c>
      <c r="DQ32">
        <v>3.107826E-2</v>
      </c>
      <c r="DR32">
        <v>-0.14471586</v>
      </c>
      <c r="DS32">
        <v>-7.5629189999999999E-2</v>
      </c>
      <c r="DT32">
        <v>0.14540358</v>
      </c>
      <c r="DU32">
        <v>-0.11850732999999999</v>
      </c>
      <c r="DV32">
        <v>-1.8769877000000001E-2</v>
      </c>
      <c r="DW32">
        <v>0.17166925999999999</v>
      </c>
      <c r="DX32">
        <v>0.17802045999999999</v>
      </c>
      <c r="DY32">
        <v>-2.5891744000000001E-2</v>
      </c>
      <c r="DZ32">
        <v>0.35344857000000002</v>
      </c>
    </row>
    <row r="33" spans="1:130" x14ac:dyDescent="0.3">
      <c r="A33">
        <f>Board!$G$4</f>
        <v>0</v>
      </c>
      <c r="C33">
        <v>-5.2230866000000003E-3</v>
      </c>
      <c r="D33">
        <v>8.0522395999999996E-2</v>
      </c>
      <c r="E33">
        <v>0.23074554999999999</v>
      </c>
      <c r="F33">
        <v>-0.117191054</v>
      </c>
      <c r="G33">
        <v>1.7325625000000001E-2</v>
      </c>
      <c r="H33">
        <v>-9.0517595000000006E-2</v>
      </c>
      <c r="I33">
        <v>3.5547370000000002E-2</v>
      </c>
      <c r="J33">
        <v>0.14140414000000001</v>
      </c>
      <c r="K33">
        <v>2.3540845000000001E-2</v>
      </c>
      <c r="L33">
        <v>0.13728635</v>
      </c>
      <c r="M33">
        <v>1.9703409000000002E-2</v>
      </c>
      <c r="N33">
        <v>-0.73592979999999997</v>
      </c>
      <c r="O33">
        <v>-4.8681759999999998E-2</v>
      </c>
      <c r="P33">
        <v>-0.16253369000000001</v>
      </c>
      <c r="Q33">
        <v>0.15566306999999999</v>
      </c>
      <c r="R33">
        <v>8.7621959999999999E-2</v>
      </c>
      <c r="S33">
        <v>9.5698909999999998E-2</v>
      </c>
      <c r="T33">
        <v>0.3617611</v>
      </c>
      <c r="U33">
        <v>0.38061709999999999</v>
      </c>
      <c r="V33">
        <v>0.10149749</v>
      </c>
      <c r="W33">
        <v>0.25078436999999998</v>
      </c>
      <c r="X33">
        <v>8.695276E-3</v>
      </c>
      <c r="Y33">
        <v>-0.21247785999999999</v>
      </c>
      <c r="Z33">
        <v>-0.21643887000000001</v>
      </c>
      <c r="AA33">
        <v>0.12680040000000001</v>
      </c>
      <c r="AB33">
        <v>-9.6052979999999996E-2</v>
      </c>
      <c r="AC33">
        <v>-2.6599757000000002E-2</v>
      </c>
      <c r="AD33">
        <v>0.13000958000000001</v>
      </c>
      <c r="AE33">
        <v>0.10632336000000001</v>
      </c>
      <c r="AF33">
        <v>-8.3648760000000003E-2</v>
      </c>
      <c r="AG33">
        <v>-0.17807013999999999</v>
      </c>
      <c r="AH33">
        <v>-0.15740283999999999</v>
      </c>
      <c r="AI33">
        <v>0.18593921999999999</v>
      </c>
      <c r="AJ33">
        <v>0.13974373000000001</v>
      </c>
      <c r="AK33">
        <v>1.5355462E-2</v>
      </c>
      <c r="AL33">
        <v>0.20114288</v>
      </c>
      <c r="AM33">
        <v>0.36367607000000002</v>
      </c>
      <c r="AN33">
        <v>8.9698590000000002E-3</v>
      </c>
      <c r="AO33">
        <v>1.8802025999999999E-2</v>
      </c>
      <c r="AP33">
        <v>8.2984240000000004E-3</v>
      </c>
      <c r="AQ33">
        <v>6.0028384999999997E-2</v>
      </c>
      <c r="AR33">
        <v>-3.0238211000000001E-2</v>
      </c>
      <c r="AS33">
        <v>-0.14069894999999999</v>
      </c>
      <c r="AT33">
        <v>-1.0534863000000001</v>
      </c>
      <c r="AU33">
        <v>0.21169109999999999</v>
      </c>
      <c r="AV33">
        <v>-2.7041630000000001E-2</v>
      </c>
      <c r="AW33">
        <v>-0.21589240000000001</v>
      </c>
      <c r="AX33">
        <v>0.19256537000000001</v>
      </c>
      <c r="AY33">
        <v>0.12842782</v>
      </c>
      <c r="AZ33">
        <v>0.16692586000000001</v>
      </c>
      <c r="BA33">
        <v>-0.13017783999999999</v>
      </c>
      <c r="BB33">
        <v>-0.43484022999999999</v>
      </c>
      <c r="BC33">
        <v>-0.27313995000000002</v>
      </c>
      <c r="BD33">
        <v>3.5435426999999997E-5</v>
      </c>
      <c r="BE33">
        <v>-0.49934128</v>
      </c>
      <c r="BF33">
        <v>-9.9432309999999996E-2</v>
      </c>
      <c r="BG33">
        <v>-0.15695491</v>
      </c>
      <c r="BH33">
        <v>-5.9225674999999998E-2</v>
      </c>
      <c r="BI33">
        <v>8.039048E-2</v>
      </c>
      <c r="BJ33">
        <v>-5.2971280000000003E-2</v>
      </c>
      <c r="BK33">
        <v>9.1720350000000006E-2</v>
      </c>
      <c r="BL33">
        <v>2.4714581999999999E-2</v>
      </c>
      <c r="BM33">
        <v>0.19578371999999999</v>
      </c>
      <c r="BN33">
        <v>-0.28149827999999999</v>
      </c>
      <c r="BO33">
        <v>0.10005865999999999</v>
      </c>
      <c r="BP33">
        <v>0.12707734000000001</v>
      </c>
      <c r="BQ33">
        <v>-0.14671871</v>
      </c>
      <c r="BR33">
        <v>2.2792956E-3</v>
      </c>
      <c r="BS33">
        <v>0.19125612</v>
      </c>
      <c r="BT33">
        <v>1.4734393E-2</v>
      </c>
      <c r="BU33">
        <v>4.1286264000000003E-2</v>
      </c>
      <c r="BV33">
        <v>-0.128498</v>
      </c>
      <c r="BW33">
        <v>-9.8732634999999999E-2</v>
      </c>
      <c r="BX33">
        <v>-0.17173357</v>
      </c>
      <c r="BY33">
        <v>0.21440780000000001</v>
      </c>
      <c r="BZ33">
        <v>0.26077939999999999</v>
      </c>
      <c r="CA33">
        <v>-8.5819809999999996E-2</v>
      </c>
      <c r="CB33">
        <v>-6.4066424999999996E-2</v>
      </c>
      <c r="CC33">
        <v>1.4008778E-2</v>
      </c>
      <c r="CD33">
        <v>7.5216450000000004E-2</v>
      </c>
      <c r="CE33">
        <v>-8.3782725000000002E-2</v>
      </c>
      <c r="CF33">
        <v>-0.12431267999999999</v>
      </c>
      <c r="CG33">
        <v>0.11373982000000001</v>
      </c>
      <c r="CH33">
        <v>0.27815506000000001</v>
      </c>
      <c r="CI33">
        <v>3.8328460000000002E-2</v>
      </c>
      <c r="CJ33">
        <v>0.21955760999999999</v>
      </c>
      <c r="CK33">
        <v>0.119278416</v>
      </c>
      <c r="CL33">
        <v>0.11821371999999999</v>
      </c>
      <c r="CM33">
        <v>-0.57944523999999997</v>
      </c>
      <c r="CN33">
        <v>5.2003309999999997E-2</v>
      </c>
      <c r="CO33">
        <v>0.21657097</v>
      </c>
      <c r="CP33">
        <v>-1.619601E-2</v>
      </c>
      <c r="CQ33">
        <v>1.9571795E-3</v>
      </c>
      <c r="CR33">
        <v>-0.28330075999999998</v>
      </c>
      <c r="CS33">
        <v>-0.39771489999999998</v>
      </c>
      <c r="CT33">
        <v>-8.7333220000000003E-2</v>
      </c>
      <c r="CU33">
        <v>2.3422372000000001E-3</v>
      </c>
      <c r="CV33">
        <v>-0.1429868</v>
      </c>
      <c r="CW33">
        <v>3.3948377000000002E-2</v>
      </c>
      <c r="CX33">
        <v>9.3252230000000005E-2</v>
      </c>
      <c r="CY33">
        <v>-4.0274932999999999E-2</v>
      </c>
      <c r="CZ33">
        <v>0.14674321000000001</v>
      </c>
      <c r="DA33">
        <v>9.5680000000000001E-2</v>
      </c>
      <c r="DB33">
        <v>0.110472135</v>
      </c>
      <c r="DC33">
        <v>2.2079290000000001E-2</v>
      </c>
      <c r="DD33">
        <v>-0.2437626</v>
      </c>
      <c r="DE33">
        <v>0.22018847999999999</v>
      </c>
      <c r="DF33">
        <v>-0.23434824000000001</v>
      </c>
      <c r="DG33">
        <v>-0.12320716</v>
      </c>
      <c r="DH33">
        <v>8.6688169999999995E-2</v>
      </c>
      <c r="DI33">
        <v>3.3460512999999997E-2</v>
      </c>
      <c r="DJ33">
        <v>-0.105513684</v>
      </c>
      <c r="DK33">
        <v>0.16174994000000001</v>
      </c>
      <c r="DL33">
        <v>4.3849079999999999E-3</v>
      </c>
      <c r="DM33">
        <v>7.8163943999999999E-2</v>
      </c>
      <c r="DN33">
        <v>-0.27752719999999997</v>
      </c>
      <c r="DO33">
        <v>0.126494</v>
      </c>
      <c r="DP33">
        <v>-0.20014165</v>
      </c>
      <c r="DQ33">
        <v>-0.27292556000000001</v>
      </c>
      <c r="DR33">
        <v>-0.23597172999999999</v>
      </c>
      <c r="DS33">
        <v>-1.5837965999999998E-2</v>
      </c>
      <c r="DT33">
        <v>-0.64550065999999995</v>
      </c>
      <c r="DU33">
        <v>-5.1783959999999997E-2</v>
      </c>
      <c r="DV33">
        <v>-0.17092874999999999</v>
      </c>
      <c r="DW33">
        <v>-4.7822583000000002E-2</v>
      </c>
      <c r="DX33">
        <v>8.2523054999999998E-2</v>
      </c>
      <c r="DY33">
        <v>-8.0895275000000003E-2</v>
      </c>
      <c r="DZ33">
        <v>0.3329877</v>
      </c>
    </row>
    <row r="34" spans="1:130" x14ac:dyDescent="0.3">
      <c r="A34">
        <f>Board!$H$4</f>
        <v>1</v>
      </c>
      <c r="C34">
        <v>-0.20470583000000001</v>
      </c>
      <c r="D34">
        <v>-0.14322816999999999</v>
      </c>
      <c r="E34">
        <v>-0.36893278000000002</v>
      </c>
      <c r="F34">
        <v>-2.4690935000000001E-2</v>
      </c>
      <c r="G34">
        <v>0.20558265000000001</v>
      </c>
      <c r="H34">
        <v>0.20899865000000001</v>
      </c>
      <c r="I34">
        <v>8.8558400000000002E-3</v>
      </c>
      <c r="J34">
        <v>0.26057106000000002</v>
      </c>
      <c r="K34">
        <v>4.8641330000000003E-2</v>
      </c>
      <c r="L34">
        <v>-0.14614538999999999</v>
      </c>
      <c r="M34">
        <v>0.16930017</v>
      </c>
      <c r="N34">
        <v>0.19298409999999999</v>
      </c>
      <c r="O34">
        <v>8.6682880000000004E-2</v>
      </c>
      <c r="P34">
        <v>-7.4225806000000005E-2</v>
      </c>
      <c r="Q34">
        <v>6.3286040000000002E-2</v>
      </c>
      <c r="R34">
        <v>0.21791147999999999</v>
      </c>
      <c r="S34">
        <v>0.25949222</v>
      </c>
      <c r="T34">
        <v>0.15006062000000001</v>
      </c>
      <c r="U34">
        <v>-9.6244079999999996E-2</v>
      </c>
      <c r="V34">
        <v>-0.13469416000000001</v>
      </c>
      <c r="W34">
        <v>0.30756757000000001</v>
      </c>
      <c r="X34">
        <v>0.21705104</v>
      </c>
      <c r="Y34">
        <v>-5.0080479999999997E-2</v>
      </c>
      <c r="Z34">
        <v>0.38301906000000002</v>
      </c>
      <c r="AA34">
        <v>0.29084211999999998</v>
      </c>
      <c r="AB34">
        <v>-3.4511987000000001E-2</v>
      </c>
      <c r="AC34">
        <v>-0.25146743999999999</v>
      </c>
      <c r="AD34">
        <v>0.20736953999999999</v>
      </c>
      <c r="AE34">
        <v>2.8547914999999999E-3</v>
      </c>
      <c r="AF34">
        <v>0.12770881000000001</v>
      </c>
      <c r="AG34">
        <v>-0.20374698999999999</v>
      </c>
      <c r="AH34">
        <v>2.1266152999999999E-2</v>
      </c>
      <c r="AI34">
        <v>-8.7271689999999999E-3</v>
      </c>
      <c r="AJ34">
        <v>8.8952039999999996E-2</v>
      </c>
      <c r="AK34">
        <v>9.0391460000000007E-2</v>
      </c>
      <c r="AL34">
        <v>0.10658280000000001</v>
      </c>
      <c r="AM34">
        <v>0.34235602999999998</v>
      </c>
      <c r="AN34">
        <v>-2.2400817E-2</v>
      </c>
      <c r="AO34">
        <v>-1.0062691E-2</v>
      </c>
      <c r="AP34">
        <v>0.14157117999999999</v>
      </c>
      <c r="AQ34">
        <v>0.27013534</v>
      </c>
      <c r="AR34">
        <v>-6.5327333000000003E-3</v>
      </c>
      <c r="AS34">
        <v>0.31575403000000002</v>
      </c>
      <c r="AT34">
        <v>-1.7940790000000002E-2</v>
      </c>
      <c r="AU34">
        <v>0.20871939</v>
      </c>
      <c r="AV34">
        <v>-0.11588596600000001</v>
      </c>
      <c r="AW34">
        <v>9.4460554000000002E-2</v>
      </c>
      <c r="AX34">
        <v>0.13381538000000001</v>
      </c>
      <c r="AY34">
        <v>-9.5303139999999998E-3</v>
      </c>
      <c r="AZ34">
        <v>0.18979405999999999</v>
      </c>
      <c r="BA34">
        <v>-0.28405639999999999</v>
      </c>
      <c r="BB34">
        <v>-0.51465090000000002</v>
      </c>
      <c r="BC34">
        <v>-5.8028563999999998E-2</v>
      </c>
      <c r="BD34">
        <v>0.24646243000000001</v>
      </c>
      <c r="BE34">
        <v>0.15320432</v>
      </c>
      <c r="BF34">
        <v>7.9888629999999995E-4</v>
      </c>
      <c r="BG34">
        <v>-0.25184852000000002</v>
      </c>
      <c r="BH34">
        <v>-0.17239857</v>
      </c>
      <c r="BI34">
        <v>1.6725476999999999E-2</v>
      </c>
      <c r="BJ34">
        <v>-9.8562469999999999E-2</v>
      </c>
      <c r="BK34">
        <v>0.10177538</v>
      </c>
      <c r="BL34">
        <v>0.12539822</v>
      </c>
      <c r="BM34">
        <v>-4.802116E-2</v>
      </c>
      <c r="BN34">
        <v>-5.334302E-3</v>
      </c>
      <c r="BO34">
        <v>-0.14314336999999999</v>
      </c>
      <c r="BP34">
        <v>0.23888534</v>
      </c>
      <c r="BQ34">
        <v>5.9413507999999997E-2</v>
      </c>
      <c r="BR34">
        <v>0.13137869999999999</v>
      </c>
      <c r="BS34">
        <v>-0.14379438999999999</v>
      </c>
      <c r="BT34">
        <v>0.12776270000000001</v>
      </c>
      <c r="BU34">
        <v>0.122075796</v>
      </c>
      <c r="BV34">
        <v>2.6679979999999999E-2</v>
      </c>
      <c r="BW34">
        <v>0.19750200000000001</v>
      </c>
      <c r="BX34">
        <v>4.9200132000000001E-2</v>
      </c>
      <c r="BY34">
        <v>0.22248802000000001</v>
      </c>
      <c r="BZ34">
        <v>0.33703807000000002</v>
      </c>
      <c r="CA34">
        <v>-3.1755566999999998E-2</v>
      </c>
      <c r="CB34">
        <v>2.9504639999999999E-2</v>
      </c>
      <c r="CC34">
        <v>-1.5702377999999999E-2</v>
      </c>
      <c r="CD34">
        <v>1.01735955E-2</v>
      </c>
      <c r="CE34">
        <v>-1.0381903499999999E-2</v>
      </c>
      <c r="CF34">
        <v>-7.1613743999999993E-2</v>
      </c>
      <c r="CG34">
        <v>3.6545407000000002E-2</v>
      </c>
      <c r="CH34">
        <v>-0.43904176</v>
      </c>
      <c r="CI34">
        <v>0.11612699</v>
      </c>
      <c r="CJ34">
        <v>-4.0577830000000002E-2</v>
      </c>
      <c r="CK34">
        <v>0.25464076000000002</v>
      </c>
      <c r="CL34">
        <v>0.13580742000000001</v>
      </c>
      <c r="CM34">
        <v>-0.20376617</v>
      </c>
      <c r="CN34">
        <v>0.15657805999999999</v>
      </c>
      <c r="CO34">
        <v>-0.59866390000000003</v>
      </c>
      <c r="CP34">
        <v>0.19579414000000001</v>
      </c>
      <c r="CQ34">
        <v>-0.10475538</v>
      </c>
      <c r="CR34">
        <v>-1.5474511E-2</v>
      </c>
      <c r="CS34">
        <v>-0.39817667000000001</v>
      </c>
      <c r="CT34">
        <v>3.5387926E-2</v>
      </c>
      <c r="CU34">
        <v>-0.10209509</v>
      </c>
      <c r="CV34">
        <v>-4.3876751999999998E-2</v>
      </c>
      <c r="CW34">
        <v>0.11675289</v>
      </c>
      <c r="CX34">
        <v>0.28183936999999998</v>
      </c>
      <c r="CY34">
        <v>-2.0391334000000001E-2</v>
      </c>
      <c r="CZ34">
        <v>0.17894035999999999</v>
      </c>
      <c r="DA34">
        <v>0.1821817</v>
      </c>
      <c r="DB34">
        <v>0.11007500000000001</v>
      </c>
      <c r="DC34">
        <v>0.31078085</v>
      </c>
      <c r="DD34">
        <v>0.15454474000000001</v>
      </c>
      <c r="DE34">
        <v>0.10082096</v>
      </c>
      <c r="DF34">
        <v>-0.44724335999999998</v>
      </c>
      <c r="DG34">
        <v>-0.12751365000000001</v>
      </c>
      <c r="DH34">
        <v>5.8659334E-2</v>
      </c>
      <c r="DI34">
        <v>0.21767427</v>
      </c>
      <c r="DJ34">
        <v>-8.8768360000000004E-2</v>
      </c>
      <c r="DK34">
        <v>0.23166227</v>
      </c>
      <c r="DL34">
        <v>0.13992067999999999</v>
      </c>
      <c r="DM34">
        <v>0.11135439599999999</v>
      </c>
      <c r="DN34">
        <v>0.40765030000000002</v>
      </c>
      <c r="DO34">
        <v>-8.49332E-2</v>
      </c>
      <c r="DP34">
        <v>0.12215253</v>
      </c>
      <c r="DQ34">
        <v>-5.3565092000000002E-2</v>
      </c>
      <c r="DR34">
        <v>-4.5396359999999997E-2</v>
      </c>
      <c r="DS34">
        <v>-2.6916777999999999E-2</v>
      </c>
      <c r="DT34">
        <v>0.15448906000000001</v>
      </c>
      <c r="DU34">
        <v>-0.13997850000000001</v>
      </c>
      <c r="DV34">
        <v>1.1751166E-2</v>
      </c>
      <c r="DW34">
        <v>0.11728880999999999</v>
      </c>
      <c r="DX34">
        <v>7.3798580000000003E-2</v>
      </c>
      <c r="DY34">
        <v>-0.27668342000000001</v>
      </c>
      <c r="DZ34">
        <v>-9.5621600000000001E-2</v>
      </c>
    </row>
    <row r="35" spans="1:130" x14ac:dyDescent="0.3">
      <c r="A35">
        <f>Board!$I$4</f>
        <v>0</v>
      </c>
      <c r="C35">
        <v>-8.6392460000000004E-2</v>
      </c>
      <c r="D35">
        <v>-0.24707344000000001</v>
      </c>
      <c r="E35">
        <v>-0.28651196000000001</v>
      </c>
      <c r="F35">
        <v>3.2211427000000001E-2</v>
      </c>
      <c r="G35">
        <v>0.17811023000000001</v>
      </c>
      <c r="H35">
        <v>0.16918959</v>
      </c>
      <c r="I35">
        <v>-3.5448357E-2</v>
      </c>
      <c r="J35">
        <v>4.4634136999999997E-2</v>
      </c>
      <c r="K35">
        <v>-4.2676955000000003E-2</v>
      </c>
      <c r="L35">
        <v>-0.19036944</v>
      </c>
      <c r="M35">
        <v>0.20009859999999999</v>
      </c>
      <c r="N35">
        <v>-6.3837429999999999E-3</v>
      </c>
      <c r="O35">
        <v>7.0705920000000005E-2</v>
      </c>
      <c r="P35">
        <v>0.14388391</v>
      </c>
      <c r="Q35">
        <v>-5.3172134000000003E-2</v>
      </c>
      <c r="R35">
        <v>0.19038727999999999</v>
      </c>
      <c r="S35">
        <v>0.24898513999999999</v>
      </c>
      <c r="T35">
        <v>-0.20521977999999999</v>
      </c>
      <c r="U35">
        <v>-7.9618680000000004E-3</v>
      </c>
      <c r="V35">
        <v>5.0624813999999997E-2</v>
      </c>
      <c r="W35">
        <v>0.30976552000000002</v>
      </c>
      <c r="X35">
        <v>0.20459197000000001</v>
      </c>
      <c r="Y35">
        <v>0.15546544000000001</v>
      </c>
      <c r="Z35">
        <v>0.25554700000000002</v>
      </c>
      <c r="AA35">
        <v>0.22810632</v>
      </c>
      <c r="AB35">
        <v>2.8817580999999998E-2</v>
      </c>
      <c r="AC35">
        <v>-0.1709763</v>
      </c>
      <c r="AD35">
        <v>0.14337805000000001</v>
      </c>
      <c r="AE35">
        <v>-0.18273215000000001</v>
      </c>
      <c r="AF35">
        <v>8.7791729999999998E-2</v>
      </c>
      <c r="AG35">
        <v>-3.5964925000000002E-2</v>
      </c>
      <c r="AH35">
        <v>7.4438009999999999E-2</v>
      </c>
      <c r="AI35">
        <v>-3.5001270000000001E-2</v>
      </c>
      <c r="AJ35">
        <v>-8.1050250000000001E-3</v>
      </c>
      <c r="AK35">
        <v>-1.5495823000000001E-2</v>
      </c>
      <c r="AL35">
        <v>-0.20504573000000001</v>
      </c>
      <c r="AM35">
        <v>7.9993190000000006E-2</v>
      </c>
      <c r="AN35">
        <v>0.20882091999999999</v>
      </c>
      <c r="AO35">
        <v>6.1880339999999999E-2</v>
      </c>
      <c r="AP35">
        <v>0.16936815</v>
      </c>
      <c r="AQ35">
        <v>0.18283179999999999</v>
      </c>
      <c r="AR35">
        <v>1.6997905000000001E-2</v>
      </c>
      <c r="AS35">
        <v>-0.30588316999999998</v>
      </c>
      <c r="AT35">
        <v>0.13578466</v>
      </c>
      <c r="AU35">
        <v>1.3942594E-3</v>
      </c>
      <c r="AV35">
        <v>-0.10084149000000001</v>
      </c>
      <c r="AW35">
        <v>-0.21868862</v>
      </c>
      <c r="AX35">
        <v>8.6754609999999996E-2</v>
      </c>
      <c r="AY35">
        <v>8.9112869999999997E-2</v>
      </c>
      <c r="AZ35">
        <v>5.1679343000000003E-2</v>
      </c>
      <c r="BA35">
        <v>0.22046283999999999</v>
      </c>
      <c r="BB35">
        <v>-0.41711614000000002</v>
      </c>
      <c r="BC35">
        <v>0.15138198</v>
      </c>
      <c r="BD35">
        <v>2.0571671E-2</v>
      </c>
      <c r="BE35">
        <v>0.27214280000000002</v>
      </c>
      <c r="BF35">
        <v>-0.12083874</v>
      </c>
      <c r="BG35">
        <v>2.6313689000000001E-2</v>
      </c>
      <c r="BH35">
        <v>-4.3281842000000001E-2</v>
      </c>
      <c r="BI35">
        <v>6.5454689999999996E-2</v>
      </c>
      <c r="BJ35">
        <v>-4.6886049999999999E-2</v>
      </c>
      <c r="BK35">
        <v>0.16641589000000001</v>
      </c>
      <c r="BL35">
        <v>9.7456299999999996E-2</v>
      </c>
      <c r="BM35">
        <v>-0.13768251000000001</v>
      </c>
      <c r="BN35">
        <v>0.42871752000000002</v>
      </c>
      <c r="BO35">
        <v>-2.3293655E-2</v>
      </c>
      <c r="BP35">
        <v>0.1273514</v>
      </c>
      <c r="BQ35">
        <v>0.12099319</v>
      </c>
      <c r="BR35">
        <v>-5.8819402E-2</v>
      </c>
      <c r="BS35">
        <v>-3.4705359999999998E-2</v>
      </c>
      <c r="BT35">
        <v>0.18748423</v>
      </c>
      <c r="BU35">
        <v>0.20870939999999999</v>
      </c>
      <c r="BV35">
        <v>-0.13723418000000001</v>
      </c>
      <c r="BW35">
        <v>4.0564450000000002E-2</v>
      </c>
      <c r="BX35">
        <v>-0.16022592999999999</v>
      </c>
      <c r="BY35">
        <v>0.135044</v>
      </c>
      <c r="BZ35">
        <v>-0.15942371999999999</v>
      </c>
      <c r="CA35">
        <v>-5.4528475E-2</v>
      </c>
      <c r="CB35">
        <v>-3.4443237000000002E-2</v>
      </c>
      <c r="CC35">
        <v>-7.6323316000000002E-2</v>
      </c>
      <c r="CD35">
        <v>-6.2923566E-2</v>
      </c>
      <c r="CE35">
        <v>-2.1516095999999998E-2</v>
      </c>
      <c r="CF35">
        <v>8.1524804000000006E-2</v>
      </c>
      <c r="CG35">
        <v>-0.2373757</v>
      </c>
      <c r="CH35">
        <v>-0.21618647999999999</v>
      </c>
      <c r="CI35">
        <v>5.3636499999999997E-2</v>
      </c>
      <c r="CJ35">
        <v>-0.26832929999999999</v>
      </c>
      <c r="CK35">
        <v>0.100401215</v>
      </c>
      <c r="CL35">
        <v>1.432664E-2</v>
      </c>
      <c r="CM35">
        <v>5.7608520000000003E-2</v>
      </c>
      <c r="CN35">
        <v>4.1725089999999999E-2</v>
      </c>
      <c r="CO35">
        <v>-0.3046295</v>
      </c>
      <c r="CP35">
        <v>-0.35048523999999998</v>
      </c>
      <c r="CQ35">
        <v>0.32895014</v>
      </c>
      <c r="CR35">
        <v>-9.9994360000000004E-2</v>
      </c>
      <c r="CS35">
        <v>-0.11043908400000001</v>
      </c>
      <c r="CT35">
        <v>-0.12520279000000001</v>
      </c>
      <c r="CU35">
        <v>-0.10360155</v>
      </c>
      <c r="CV35">
        <v>0.18026021</v>
      </c>
      <c r="CW35">
        <v>0.13770008</v>
      </c>
      <c r="CX35">
        <v>0.20352418999999999</v>
      </c>
      <c r="CY35">
        <v>-0.13458586</v>
      </c>
      <c r="CZ35">
        <v>1.5319932E-2</v>
      </c>
      <c r="DA35">
        <v>0.12543557999999999</v>
      </c>
      <c r="DB35">
        <v>-1.3906273E-2</v>
      </c>
      <c r="DC35">
        <v>-0.118614465</v>
      </c>
      <c r="DD35">
        <v>0.12824242</v>
      </c>
      <c r="DE35">
        <v>4.6956829999999998E-2</v>
      </c>
      <c r="DF35">
        <v>9.3708309999999996E-3</v>
      </c>
      <c r="DG35">
        <v>-0.11719675</v>
      </c>
      <c r="DH35">
        <v>8.7867299999999995E-2</v>
      </c>
      <c r="DI35">
        <v>-3.4626663000000002E-2</v>
      </c>
      <c r="DJ35">
        <v>-3.6986176000000003E-2</v>
      </c>
      <c r="DK35">
        <v>9.6646436000000002E-2</v>
      </c>
      <c r="DL35">
        <v>9.3117036E-2</v>
      </c>
      <c r="DM35">
        <v>4.4323056999999999E-2</v>
      </c>
      <c r="DN35">
        <v>8.8914980000000005E-2</v>
      </c>
      <c r="DO35">
        <v>2.5918673999999999E-2</v>
      </c>
      <c r="DP35">
        <v>0.29339302</v>
      </c>
      <c r="DQ35">
        <v>0.11624958000000001</v>
      </c>
      <c r="DR35">
        <v>3.5120312000000001E-2</v>
      </c>
      <c r="DS35">
        <v>0.35817197000000001</v>
      </c>
      <c r="DT35">
        <v>8.2349919999999993E-2</v>
      </c>
      <c r="DU35">
        <v>-9.0054660000000002E-3</v>
      </c>
      <c r="DV35">
        <v>-9.5869409999999999E-3</v>
      </c>
      <c r="DW35">
        <v>2.4883876999999999E-2</v>
      </c>
      <c r="DX35">
        <v>7.9125639999999997E-2</v>
      </c>
      <c r="DY35">
        <v>-0.19111376999999999</v>
      </c>
      <c r="DZ35">
        <v>-0.101260826</v>
      </c>
    </row>
    <row r="36" spans="1:130" x14ac:dyDescent="0.3">
      <c r="A36">
        <f>Board!$J$4</f>
        <v>0</v>
      </c>
      <c r="C36">
        <v>-9.6675129999999998E-2</v>
      </c>
      <c r="D36">
        <v>5.5363997999999998E-2</v>
      </c>
      <c r="E36">
        <v>-6.7037899999999997E-2</v>
      </c>
      <c r="F36">
        <v>2.2030477999999999E-2</v>
      </c>
      <c r="G36">
        <v>0.14847779999999999</v>
      </c>
      <c r="H36">
        <v>6.1940250000000002E-2</v>
      </c>
      <c r="I36">
        <v>-5.4892609999999996E-3</v>
      </c>
      <c r="J36">
        <v>-8.6014314999999994E-2</v>
      </c>
      <c r="K36">
        <v>-3.3784891999999997E-2</v>
      </c>
      <c r="L36">
        <v>-0.14900263</v>
      </c>
      <c r="M36">
        <v>0.30078023999999998</v>
      </c>
      <c r="N36">
        <v>-2.7198437999999998E-2</v>
      </c>
      <c r="O36">
        <v>2.7430362999999999E-2</v>
      </c>
      <c r="P36">
        <v>-2.1447351E-2</v>
      </c>
      <c r="Q36">
        <v>8.1155989999999997E-2</v>
      </c>
      <c r="R36">
        <v>3.1523864999999998E-2</v>
      </c>
      <c r="S36">
        <v>6.1303290000000003E-2</v>
      </c>
      <c r="T36">
        <v>-3.5023013999999999E-3</v>
      </c>
      <c r="U36">
        <v>0.10632496</v>
      </c>
      <c r="V36">
        <v>6.0432213999999998E-2</v>
      </c>
      <c r="W36">
        <v>0.11143823999999999</v>
      </c>
      <c r="X36">
        <v>5.4927506000000001E-2</v>
      </c>
      <c r="Y36">
        <v>4.6278804999999999E-2</v>
      </c>
      <c r="Z36">
        <v>0.13645276000000001</v>
      </c>
      <c r="AA36">
        <v>3.7444163000000003E-2</v>
      </c>
      <c r="AB36">
        <v>-4.9755710000000002E-2</v>
      </c>
      <c r="AC36">
        <v>-9.9861850000000002E-2</v>
      </c>
      <c r="AD36">
        <v>0.14951442000000001</v>
      </c>
      <c r="AE36">
        <v>-7.3021285000000005E-2</v>
      </c>
      <c r="AF36">
        <v>-0.23730528000000001</v>
      </c>
      <c r="AG36">
        <v>-0.25588687999999998</v>
      </c>
      <c r="AH36">
        <v>-3.5245787000000001E-2</v>
      </c>
      <c r="AI36">
        <v>-3.070055E-2</v>
      </c>
      <c r="AJ36">
        <v>-0.18462364000000001</v>
      </c>
      <c r="AK36">
        <v>0.17182923999999999</v>
      </c>
      <c r="AL36">
        <v>-0.16349788000000001</v>
      </c>
      <c r="AM36">
        <v>-0.29056987000000001</v>
      </c>
      <c r="AN36">
        <v>-8.7292720000000004E-2</v>
      </c>
      <c r="AO36">
        <v>7.9807530000000002E-2</v>
      </c>
      <c r="AP36">
        <v>5.1587953999999998E-2</v>
      </c>
      <c r="AQ36">
        <v>1.228519E-2</v>
      </c>
      <c r="AR36">
        <v>-0.1960684</v>
      </c>
      <c r="AS36">
        <v>-0.21352066</v>
      </c>
      <c r="AT36">
        <v>-1.4970519E-2</v>
      </c>
      <c r="AU36">
        <v>-0.12924939999999999</v>
      </c>
      <c r="AV36">
        <v>-6.7184820000000006E-2</v>
      </c>
      <c r="AW36">
        <v>-0.37909125999999999</v>
      </c>
      <c r="AX36">
        <v>-6.2940065000000002E-3</v>
      </c>
      <c r="AY36">
        <v>8.9401944999999997E-2</v>
      </c>
      <c r="AZ36">
        <v>3.9434165E-2</v>
      </c>
      <c r="BA36">
        <v>0.15084633</v>
      </c>
      <c r="BB36">
        <v>-0.29264637999999998</v>
      </c>
      <c r="BC36">
        <v>2.2988339999999999E-2</v>
      </c>
      <c r="BD36">
        <v>3.7264619999999998E-2</v>
      </c>
      <c r="BE36">
        <v>0.41144702</v>
      </c>
      <c r="BF36">
        <v>-5.9505016000000001E-2</v>
      </c>
      <c r="BG36">
        <v>0.10212953</v>
      </c>
      <c r="BH36">
        <v>-8.3133170000000006E-2</v>
      </c>
      <c r="BI36">
        <v>3.2800852999999998E-2</v>
      </c>
      <c r="BJ36">
        <v>-0.26529005</v>
      </c>
      <c r="BK36">
        <v>9.1002529999999998E-2</v>
      </c>
      <c r="BL36">
        <v>8.9589849999999999E-2</v>
      </c>
      <c r="BM36">
        <v>2.1159053000000001E-2</v>
      </c>
      <c r="BN36">
        <v>-8.2791686000000003E-2</v>
      </c>
      <c r="BO36">
        <v>-9.2831579999999997E-2</v>
      </c>
      <c r="BP36">
        <v>8.1418829999999998E-2</v>
      </c>
      <c r="BQ36">
        <v>9.1038850000000004E-2</v>
      </c>
      <c r="BR36">
        <v>1.33409705E-2</v>
      </c>
      <c r="BS36">
        <v>-0.31600273000000001</v>
      </c>
      <c r="BT36">
        <v>0.16273656</v>
      </c>
      <c r="BU36">
        <v>7.8565280000000001E-2</v>
      </c>
      <c r="BV36">
        <v>-0.68636143000000005</v>
      </c>
      <c r="BW36">
        <v>-0.17709530000000001</v>
      </c>
      <c r="BX36">
        <v>0.10678267</v>
      </c>
      <c r="BY36">
        <v>4.5765596999999998E-2</v>
      </c>
      <c r="BZ36">
        <v>-0.28773880000000002</v>
      </c>
      <c r="CA36">
        <v>-2.6545905000000002E-2</v>
      </c>
      <c r="CB36">
        <v>-8.120078E-2</v>
      </c>
      <c r="CC36">
        <v>-1.6124860000000001E-2</v>
      </c>
      <c r="CD36">
        <v>-1.5521435E-2</v>
      </c>
      <c r="CE36">
        <v>-0.14435048</v>
      </c>
      <c r="CF36">
        <v>-0.13913886</v>
      </c>
      <c r="CG36">
        <v>-0.11125496999999999</v>
      </c>
      <c r="CH36">
        <v>0.25847265000000003</v>
      </c>
      <c r="CI36">
        <v>7.6441235999999996E-2</v>
      </c>
      <c r="CJ36">
        <v>-7.428526E-4</v>
      </c>
      <c r="CK36">
        <v>2.1072773E-2</v>
      </c>
      <c r="CL36">
        <v>-1.1822615999999999E-2</v>
      </c>
      <c r="CM36">
        <v>6.0440880000000002E-2</v>
      </c>
      <c r="CN36">
        <v>2.215949E-3</v>
      </c>
      <c r="CO36">
        <v>1.0646565E-2</v>
      </c>
      <c r="CP36">
        <v>-0.36649245000000003</v>
      </c>
      <c r="CQ36">
        <v>0.36062569999999999</v>
      </c>
      <c r="CR36">
        <v>-0.30605452999999999</v>
      </c>
      <c r="CS36">
        <v>-6.7256150000000001E-2</v>
      </c>
      <c r="CT36">
        <v>-4.0194680000000003E-2</v>
      </c>
      <c r="CU36">
        <v>0.15010772999999999</v>
      </c>
      <c r="CV36">
        <v>0.3009037</v>
      </c>
      <c r="CW36">
        <v>0.15059964000000001</v>
      </c>
      <c r="CX36">
        <v>3.5983334999999998E-2</v>
      </c>
      <c r="CY36">
        <v>8.2790260000000004E-2</v>
      </c>
      <c r="CZ36">
        <v>-2.0067278000000001E-2</v>
      </c>
      <c r="DA36">
        <v>0.13375313999999999</v>
      </c>
      <c r="DB36">
        <v>8.8908409999999993E-2</v>
      </c>
      <c r="DC36">
        <v>-0.5256248</v>
      </c>
      <c r="DD36">
        <v>0.228599</v>
      </c>
      <c r="DE36">
        <v>0.12094286</v>
      </c>
      <c r="DF36">
        <v>0.40258554000000002</v>
      </c>
      <c r="DG36">
        <v>-1.5625764E-2</v>
      </c>
      <c r="DH36">
        <v>1.9473213999999999E-2</v>
      </c>
      <c r="DI36">
        <v>-0.11665244399999999</v>
      </c>
      <c r="DJ36">
        <v>7.1537630000000005E-2</v>
      </c>
      <c r="DK36">
        <v>0.13339496000000001</v>
      </c>
      <c r="DL36">
        <v>0.26328247999999999</v>
      </c>
      <c r="DM36">
        <v>0.17785580000000001</v>
      </c>
      <c r="DN36">
        <v>-5.2693594000000003E-2</v>
      </c>
      <c r="DO36">
        <v>0.21439080999999999</v>
      </c>
      <c r="DP36">
        <v>6.0566969999999998E-2</v>
      </c>
      <c r="DQ36">
        <v>0.19940840000000001</v>
      </c>
      <c r="DR36">
        <v>0.18360808000000001</v>
      </c>
      <c r="DS36">
        <v>0.29220507000000001</v>
      </c>
      <c r="DT36">
        <v>0.14915168000000001</v>
      </c>
      <c r="DU36">
        <v>7.5809589999999996E-2</v>
      </c>
      <c r="DV36">
        <v>0.12501880000000001</v>
      </c>
      <c r="DW36">
        <v>-6.2978590000000001E-2</v>
      </c>
      <c r="DX36">
        <v>7.6562934999999999E-4</v>
      </c>
      <c r="DY36">
        <v>-9.1021489999999997E-2</v>
      </c>
      <c r="DZ36">
        <v>-0.17588513</v>
      </c>
    </row>
    <row r="37" spans="1:130" x14ac:dyDescent="0.3">
      <c r="A37">
        <f>Board!$K$4</f>
        <v>0</v>
      </c>
      <c r="C37">
        <v>-0.35540703000000001</v>
      </c>
      <c r="D37">
        <v>0.1859094</v>
      </c>
      <c r="E37">
        <v>0.15671930000000001</v>
      </c>
      <c r="F37">
        <v>0.17800742</v>
      </c>
      <c r="G37">
        <v>9.8639729999999998E-3</v>
      </c>
      <c r="H37">
        <v>-1.3124943999999999E-2</v>
      </c>
      <c r="I37">
        <v>4.8358770000000002E-2</v>
      </c>
      <c r="J37">
        <v>6.1569255000000003E-2</v>
      </c>
      <c r="K37">
        <v>0.12205173</v>
      </c>
      <c r="L37">
        <v>9.5412510000000006E-2</v>
      </c>
      <c r="M37">
        <v>0.17580104999999999</v>
      </c>
      <c r="N37">
        <v>-5.5786339999999998E-3</v>
      </c>
      <c r="O37">
        <v>-0.17195038000000001</v>
      </c>
      <c r="P37">
        <v>1.8016528E-2</v>
      </c>
      <c r="Q37">
        <v>4.6539173000000003E-2</v>
      </c>
      <c r="R37">
        <v>-2.709197E-2</v>
      </c>
      <c r="S37">
        <v>4.0555111999999997E-2</v>
      </c>
      <c r="T37">
        <v>3.9642040000000003E-2</v>
      </c>
      <c r="U37">
        <v>5.3706255000000001E-2</v>
      </c>
      <c r="V37">
        <v>0.16989377</v>
      </c>
      <c r="W37">
        <v>0.19122796</v>
      </c>
      <c r="X37">
        <v>1.3292128E-2</v>
      </c>
      <c r="Y37">
        <v>0.10524848000000001</v>
      </c>
      <c r="Z37">
        <v>0.13269958000000001</v>
      </c>
      <c r="AA37">
        <v>2.4242677000000001E-2</v>
      </c>
      <c r="AB37">
        <v>-1.5540175999999999E-2</v>
      </c>
      <c r="AC37">
        <v>-0.14203426</v>
      </c>
      <c r="AD37">
        <v>0.21370643</v>
      </c>
      <c r="AE37">
        <v>7.5715180000000007E-2</v>
      </c>
      <c r="AF37">
        <v>-0.5714186</v>
      </c>
      <c r="AG37">
        <v>-4.2164605000000001E-2</v>
      </c>
      <c r="AH37">
        <v>8.5303110000000001E-2</v>
      </c>
      <c r="AI37">
        <v>3.5936389999999999E-2</v>
      </c>
      <c r="AJ37">
        <v>-0.196686</v>
      </c>
      <c r="AK37">
        <v>7.9363375999999999E-2</v>
      </c>
      <c r="AL37">
        <v>-0.11792936</v>
      </c>
      <c r="AM37">
        <v>-0.46401735999999999</v>
      </c>
      <c r="AN37">
        <v>4.9607933E-2</v>
      </c>
      <c r="AO37">
        <v>-2.6550572000000001E-2</v>
      </c>
      <c r="AP37">
        <v>-0.11217882</v>
      </c>
      <c r="AQ37">
        <v>0.20201029000000001</v>
      </c>
      <c r="AR37">
        <v>-0.10912752000000001</v>
      </c>
      <c r="AS37">
        <v>0.11370041</v>
      </c>
      <c r="AT37">
        <v>-3.3279235999999997E-2</v>
      </c>
      <c r="AU37">
        <v>-0.1328995</v>
      </c>
      <c r="AV37">
        <v>6.9171250000000004E-2</v>
      </c>
      <c r="AW37">
        <v>-0.14423520000000001</v>
      </c>
      <c r="AX37">
        <v>-5.0533376999999997E-2</v>
      </c>
      <c r="AY37">
        <v>-1.0828368999999999E-2</v>
      </c>
      <c r="AZ37">
        <v>1.1315234E-2</v>
      </c>
      <c r="BA37">
        <v>0.18091563999999999</v>
      </c>
      <c r="BB37">
        <v>-0.35918929999999999</v>
      </c>
      <c r="BC37">
        <v>-2.1751835E-3</v>
      </c>
      <c r="BD37">
        <v>3.6737747000000001E-2</v>
      </c>
      <c r="BE37">
        <v>-0.22152309000000001</v>
      </c>
      <c r="BF37">
        <v>6.6287540000000006E-2</v>
      </c>
      <c r="BG37">
        <v>2.0623391000000001E-2</v>
      </c>
      <c r="BH37">
        <v>-0.19423505999999999</v>
      </c>
      <c r="BI37">
        <v>6.3708189999999998E-2</v>
      </c>
      <c r="BJ37">
        <v>-0.2896244</v>
      </c>
      <c r="BK37">
        <v>1.3399507E-2</v>
      </c>
      <c r="BL37">
        <v>8.1494465000000002E-2</v>
      </c>
      <c r="BM37">
        <v>-0.18062727000000001</v>
      </c>
      <c r="BN37">
        <v>6.8402513999999998E-2</v>
      </c>
      <c r="BO37">
        <v>-8.8991420000000002E-2</v>
      </c>
      <c r="BP37">
        <v>4.7438139999999997E-2</v>
      </c>
      <c r="BQ37">
        <v>-8.3721229999999994E-2</v>
      </c>
      <c r="BR37">
        <v>-7.2974860000000003E-2</v>
      </c>
      <c r="BS37">
        <v>9.3079330000000002E-2</v>
      </c>
      <c r="BT37">
        <v>8.3733459999999996E-2</v>
      </c>
      <c r="BU37">
        <v>0.11910225000000001</v>
      </c>
      <c r="BV37">
        <v>-0.26715063999999999</v>
      </c>
      <c r="BW37">
        <v>-0.28627783000000001</v>
      </c>
      <c r="BX37">
        <v>-3.6221496999999998E-2</v>
      </c>
      <c r="BY37">
        <v>0.15193203</v>
      </c>
      <c r="BZ37">
        <v>-0.23574713999999999</v>
      </c>
      <c r="CA37">
        <v>-0.12085551999999999</v>
      </c>
      <c r="CB37">
        <v>-0.22457577000000001</v>
      </c>
      <c r="CC37">
        <v>6.0912005999999998E-2</v>
      </c>
      <c r="CD37">
        <v>-0.25888136</v>
      </c>
      <c r="CE37">
        <v>-0.14019725999999999</v>
      </c>
      <c r="CF37">
        <v>-0.29676174999999999</v>
      </c>
      <c r="CG37">
        <v>8.9545029999999998E-2</v>
      </c>
      <c r="CH37">
        <v>0.18022152999999999</v>
      </c>
      <c r="CI37">
        <v>-9.4376379999999996E-2</v>
      </c>
      <c r="CJ37">
        <v>0.12917706000000001</v>
      </c>
      <c r="CK37">
        <v>8.1659820000000004E-3</v>
      </c>
      <c r="CL37">
        <v>5.8485509999999997E-2</v>
      </c>
      <c r="CM37">
        <v>-8.4002129999999994E-2</v>
      </c>
      <c r="CN37">
        <v>-0.13917024</v>
      </c>
      <c r="CO37">
        <v>0.13910423</v>
      </c>
      <c r="CP37">
        <v>-0.23131019999999999</v>
      </c>
      <c r="CQ37">
        <v>0.16115589999999999</v>
      </c>
      <c r="CR37">
        <v>-0.2866727</v>
      </c>
      <c r="CS37">
        <v>-4.8090050000000002E-2</v>
      </c>
      <c r="CT37">
        <v>-5.6850456000000001E-2</v>
      </c>
      <c r="CU37">
        <v>2.6467133E-2</v>
      </c>
      <c r="CV37">
        <v>0.41515243000000002</v>
      </c>
      <c r="CW37">
        <v>5.5232419999999997E-2</v>
      </c>
      <c r="CX37">
        <v>-8.8487040000000003E-2</v>
      </c>
      <c r="CY37">
        <v>9.8192479999999999E-2</v>
      </c>
      <c r="CZ37">
        <v>1.6903532999999998E-2</v>
      </c>
      <c r="DA37">
        <v>-0.12077961</v>
      </c>
      <c r="DB37">
        <v>0.14519413</v>
      </c>
      <c r="DC37">
        <v>-0.18598717000000001</v>
      </c>
      <c r="DD37">
        <v>0.23980276</v>
      </c>
      <c r="DE37">
        <v>0.20861436</v>
      </c>
      <c r="DF37">
        <v>0.15529914</v>
      </c>
      <c r="DG37">
        <v>-0.20188672999999999</v>
      </c>
      <c r="DH37">
        <v>2.1716040999999998E-2</v>
      </c>
      <c r="DI37">
        <v>3.4242175999999999E-2</v>
      </c>
      <c r="DJ37">
        <v>0.119168386</v>
      </c>
      <c r="DK37">
        <v>5.7639994E-2</v>
      </c>
      <c r="DL37">
        <v>3.3313694999999997E-2</v>
      </c>
      <c r="DM37">
        <v>-4.3161735E-2</v>
      </c>
      <c r="DN37">
        <v>-9.9044690000000005E-2</v>
      </c>
      <c r="DO37">
        <v>0.18344447</v>
      </c>
      <c r="DP37">
        <v>0.1286408</v>
      </c>
      <c r="DQ37">
        <v>-3.9929649999999997E-2</v>
      </c>
      <c r="DR37">
        <v>0.18571217000000001</v>
      </c>
      <c r="DS37">
        <v>7.3171330000000007E-2</v>
      </c>
      <c r="DT37">
        <v>9.0492550000000008E-3</v>
      </c>
      <c r="DU37">
        <v>-7.0129880000000006E-2</v>
      </c>
      <c r="DV37">
        <v>0.16193347</v>
      </c>
      <c r="DW37">
        <v>-0.15420518999999999</v>
      </c>
      <c r="DX37">
        <v>-6.4606726000000003E-2</v>
      </c>
      <c r="DY37">
        <v>9.6262964000000005E-5</v>
      </c>
      <c r="DZ37">
        <v>-0.49208861999999998</v>
      </c>
    </row>
    <row r="38" spans="1:130" x14ac:dyDescent="0.3">
      <c r="A38">
        <f>Board!$L$4</f>
        <v>0</v>
      </c>
      <c r="C38">
        <v>-0.48575990000000002</v>
      </c>
      <c r="D38">
        <v>0.24075489</v>
      </c>
      <c r="E38">
        <v>0.16311117</v>
      </c>
      <c r="F38">
        <v>0.12222361</v>
      </c>
      <c r="G38">
        <v>2.9696443999999999E-2</v>
      </c>
      <c r="H38">
        <v>-2.8733709999999999E-2</v>
      </c>
      <c r="I38">
        <v>0.14946280000000001</v>
      </c>
      <c r="J38">
        <v>0.10320859</v>
      </c>
      <c r="K38">
        <v>-0.11725569</v>
      </c>
      <c r="L38">
        <v>0.19925538000000001</v>
      </c>
      <c r="M38">
        <v>0.29484453999999999</v>
      </c>
      <c r="N38">
        <v>3.8214557000000003E-2</v>
      </c>
      <c r="O38">
        <v>-0.33080387</v>
      </c>
      <c r="P38">
        <v>-0.18823880000000001</v>
      </c>
      <c r="Q38">
        <v>-6.2252637E-2</v>
      </c>
      <c r="R38">
        <v>-9.2837550000000005E-2</v>
      </c>
      <c r="S38">
        <v>-7.7114680000000005E-2</v>
      </c>
      <c r="T38">
        <v>-3.0241174999999999E-2</v>
      </c>
      <c r="U38">
        <v>0.11072311</v>
      </c>
      <c r="V38">
        <v>4.1561090000000002E-2</v>
      </c>
      <c r="W38">
        <v>2.3613643E-2</v>
      </c>
      <c r="X38">
        <v>0.13577928</v>
      </c>
      <c r="Y38">
        <v>8.0698649999999997E-2</v>
      </c>
      <c r="Z38">
        <v>-0.1612575</v>
      </c>
      <c r="AA38">
        <v>0.20881473</v>
      </c>
      <c r="AB38">
        <v>0.28139934</v>
      </c>
      <c r="AC38">
        <v>-0.119031444</v>
      </c>
      <c r="AD38">
        <v>0.3094942</v>
      </c>
      <c r="AE38">
        <v>0.14788034999999999</v>
      </c>
      <c r="AF38">
        <v>-0.58770889999999998</v>
      </c>
      <c r="AG38">
        <v>8.8286236000000004E-2</v>
      </c>
      <c r="AH38">
        <v>-8.6660689999999999E-2</v>
      </c>
      <c r="AI38">
        <v>-5.5365570000000003E-2</v>
      </c>
      <c r="AJ38">
        <v>-7.6908199999999996E-2</v>
      </c>
      <c r="AK38">
        <v>-8.2083926000000001E-2</v>
      </c>
      <c r="AL38">
        <v>4.1403050000000004E-3</v>
      </c>
      <c r="AM38">
        <v>-0.19031013999999999</v>
      </c>
      <c r="AN38">
        <v>0.23017575000000001</v>
      </c>
      <c r="AO38">
        <v>-2.2455644E-2</v>
      </c>
      <c r="AP38">
        <v>-6.919962E-3</v>
      </c>
      <c r="AQ38">
        <v>0.13686541999999999</v>
      </c>
      <c r="AR38">
        <v>-0.21038203</v>
      </c>
      <c r="AS38">
        <v>0.52005893000000003</v>
      </c>
      <c r="AT38">
        <v>-1.9126945999999999E-2</v>
      </c>
      <c r="AU38">
        <v>-0.13352159</v>
      </c>
      <c r="AV38">
        <v>9.7417290000000004E-2</v>
      </c>
      <c r="AW38">
        <v>-0.12440249</v>
      </c>
      <c r="AX38">
        <v>0.13576594</v>
      </c>
      <c r="AY38">
        <v>3.2126095E-2</v>
      </c>
      <c r="AZ38">
        <v>-0.30648767999999998</v>
      </c>
      <c r="BA38">
        <v>-7.4678599999999998E-2</v>
      </c>
      <c r="BB38">
        <v>-0.15738165000000001</v>
      </c>
      <c r="BC38">
        <v>-0.13367923000000001</v>
      </c>
      <c r="BD38">
        <v>4.4402749999999998E-2</v>
      </c>
      <c r="BE38">
        <v>-0.45480789999999999</v>
      </c>
      <c r="BF38">
        <v>3.106948E-3</v>
      </c>
      <c r="BG38">
        <v>0.22669859000000001</v>
      </c>
      <c r="BH38">
        <v>-3.0017635000000001E-2</v>
      </c>
      <c r="BI38">
        <v>-0.19468500999999999</v>
      </c>
      <c r="BJ38">
        <v>-0.39384950000000002</v>
      </c>
      <c r="BK38">
        <v>0.12437558</v>
      </c>
      <c r="BL38">
        <v>0.11811944000000001</v>
      </c>
      <c r="BM38">
        <v>7.8201229999999997E-2</v>
      </c>
      <c r="BN38">
        <v>0.17063149999999999</v>
      </c>
      <c r="BO38">
        <v>-5.8866657000000003E-2</v>
      </c>
      <c r="BP38">
        <v>0.10238237</v>
      </c>
      <c r="BQ38">
        <v>0.13440650000000001</v>
      </c>
      <c r="BR38">
        <v>0.13152865</v>
      </c>
      <c r="BS38">
        <v>0.27775705000000001</v>
      </c>
      <c r="BT38">
        <v>-8.3334700000000002E-4</v>
      </c>
      <c r="BU38">
        <v>0.41166213000000001</v>
      </c>
      <c r="BV38">
        <v>-0.27826590000000001</v>
      </c>
      <c r="BW38">
        <v>-0.35667791999999998</v>
      </c>
      <c r="BX38">
        <v>7.6650289999999996E-2</v>
      </c>
      <c r="BY38">
        <v>0.29099589999999997</v>
      </c>
      <c r="BZ38">
        <v>4.9108582999999997E-2</v>
      </c>
      <c r="CA38">
        <v>0.1460378</v>
      </c>
      <c r="CB38">
        <v>9.2257249999999999E-2</v>
      </c>
      <c r="CC38">
        <v>7.7316910000000003E-2</v>
      </c>
      <c r="CD38">
        <v>-0.2281839</v>
      </c>
      <c r="CE38">
        <v>3.6471969999999999E-2</v>
      </c>
      <c r="CF38">
        <v>-0.3277832</v>
      </c>
      <c r="CG38">
        <v>0.23710658000000001</v>
      </c>
      <c r="CH38">
        <v>0.31785938000000002</v>
      </c>
      <c r="CI38">
        <v>-0.19902655</v>
      </c>
      <c r="CJ38">
        <v>5.1689411999999997E-2</v>
      </c>
      <c r="CK38">
        <v>-9.7650975000000001E-2</v>
      </c>
      <c r="CL38">
        <v>-2.5484683000000001E-2</v>
      </c>
      <c r="CM38">
        <v>-4.2715660000000003E-2</v>
      </c>
      <c r="CN38">
        <v>4.2263437000000001E-2</v>
      </c>
      <c r="CO38">
        <v>0.15370165999999999</v>
      </c>
      <c r="CP38">
        <v>-0.5089612</v>
      </c>
      <c r="CQ38">
        <v>-0.19989696000000001</v>
      </c>
      <c r="CR38">
        <v>-2.1082407000000001E-2</v>
      </c>
      <c r="CS38">
        <v>-3.2683576999999998E-2</v>
      </c>
      <c r="CT38">
        <v>8.0564419999999998E-2</v>
      </c>
      <c r="CU38">
        <v>-7.8012319999999996E-2</v>
      </c>
      <c r="CV38">
        <v>0.2342727</v>
      </c>
      <c r="CW38">
        <v>-0.13844890000000001</v>
      </c>
      <c r="CX38">
        <v>-0.17426601</v>
      </c>
      <c r="CY38">
        <v>6.5642110000000004E-2</v>
      </c>
      <c r="CZ38">
        <v>-0.19006453000000001</v>
      </c>
      <c r="DA38">
        <v>-5.0281230000000003E-2</v>
      </c>
      <c r="DB38">
        <v>-9.5849740000000003E-2</v>
      </c>
      <c r="DC38">
        <v>-0.32688376000000002</v>
      </c>
      <c r="DD38">
        <v>-9.8234944000000005E-2</v>
      </c>
      <c r="DE38">
        <v>5.3831565999999997E-2</v>
      </c>
      <c r="DF38">
        <v>0.29539156</v>
      </c>
      <c r="DG38">
        <v>-0.15984488999999999</v>
      </c>
      <c r="DH38">
        <v>0.14345895</v>
      </c>
      <c r="DI38">
        <v>-8.966607E-2</v>
      </c>
      <c r="DJ38">
        <v>7.2130959999999994E-2</v>
      </c>
      <c r="DK38">
        <v>0.103037275</v>
      </c>
      <c r="DL38">
        <v>0.25918200000000002</v>
      </c>
      <c r="DM38">
        <v>0.17397315999999999</v>
      </c>
      <c r="DN38">
        <v>-0.14829701000000001</v>
      </c>
      <c r="DO38">
        <v>4.1445453E-2</v>
      </c>
      <c r="DP38">
        <v>6.8514710000000006E-2</v>
      </c>
      <c r="DQ38">
        <v>-0.10989285999999999</v>
      </c>
      <c r="DR38">
        <v>0.12293424</v>
      </c>
      <c r="DS38">
        <v>-2.1275578E-2</v>
      </c>
      <c r="DT38">
        <v>0.27885988</v>
      </c>
      <c r="DU38">
        <v>-0.10237246999999999</v>
      </c>
      <c r="DV38">
        <v>0.14902570000000001</v>
      </c>
      <c r="DW38">
        <v>0.11055450999999999</v>
      </c>
      <c r="DX38">
        <v>-0.21160925999999999</v>
      </c>
      <c r="DY38">
        <v>7.3915389999999997E-2</v>
      </c>
      <c r="DZ38">
        <v>-0.50501819999999997</v>
      </c>
    </row>
    <row r="39" spans="1:130" x14ac:dyDescent="0.3">
      <c r="A39">
        <f>Board!$M$4</f>
        <v>0</v>
      </c>
      <c r="C39">
        <v>-0.14881875999999999</v>
      </c>
      <c r="D39">
        <v>0.40220465999999999</v>
      </c>
      <c r="E39">
        <v>-2.980584E-2</v>
      </c>
      <c r="F39">
        <v>-4.7403786000000003E-2</v>
      </c>
      <c r="G39">
        <v>0.23542157999999999</v>
      </c>
      <c r="H39">
        <v>3.5247373999999998E-2</v>
      </c>
      <c r="I39">
        <v>0.38948524000000001</v>
      </c>
      <c r="J39">
        <v>0.18641125</v>
      </c>
      <c r="K39">
        <v>-0.14476765999999999</v>
      </c>
      <c r="L39">
        <v>0.20401405</v>
      </c>
      <c r="M39">
        <v>0.31306780000000001</v>
      </c>
      <c r="N39">
        <v>0.10974204</v>
      </c>
      <c r="O39">
        <v>-0.114329316</v>
      </c>
      <c r="P39">
        <v>-0.14748581999999999</v>
      </c>
      <c r="Q39">
        <v>-0.31479995999999999</v>
      </c>
      <c r="R39">
        <v>-0.10341897</v>
      </c>
      <c r="S39">
        <v>0.3372849</v>
      </c>
      <c r="T39">
        <v>0.21366808000000001</v>
      </c>
      <c r="U39">
        <v>0.30733663</v>
      </c>
      <c r="V39">
        <v>0.34119066999999997</v>
      </c>
      <c r="W39">
        <v>0.28633246000000001</v>
      </c>
      <c r="X39">
        <v>0.34245005000000001</v>
      </c>
      <c r="Y39">
        <v>-0.2323556</v>
      </c>
      <c r="Z39">
        <v>-2.0198803000000001E-2</v>
      </c>
      <c r="AA39">
        <v>0.34950545</v>
      </c>
      <c r="AB39">
        <v>0.16113658</v>
      </c>
      <c r="AC39">
        <v>7.2906059999999995E-2</v>
      </c>
      <c r="AD39">
        <v>1.5860789E-2</v>
      </c>
      <c r="AE39">
        <v>0.39677133999999997</v>
      </c>
      <c r="AF39">
        <v>-0.25842812999999998</v>
      </c>
      <c r="AG39">
        <v>3.0940390000000002E-2</v>
      </c>
      <c r="AH39">
        <v>-0.122855544</v>
      </c>
      <c r="AI39">
        <v>-0.1779888</v>
      </c>
      <c r="AJ39">
        <v>5.0984807E-2</v>
      </c>
      <c r="AK39">
        <v>-7.8915929999999995E-2</v>
      </c>
      <c r="AL39">
        <v>-0.25065556</v>
      </c>
      <c r="AM39">
        <v>-0.12709350999999999</v>
      </c>
      <c r="AN39">
        <v>2.510619E-2</v>
      </c>
      <c r="AO39">
        <v>9.9590189999999995E-2</v>
      </c>
      <c r="AP39">
        <v>-6.3209669999999996E-2</v>
      </c>
      <c r="AQ39">
        <v>-4.3097940000000001E-2</v>
      </c>
      <c r="AR39">
        <v>0.39367702999999998</v>
      </c>
      <c r="AS39">
        <v>0.39066440000000002</v>
      </c>
      <c r="AT39">
        <v>8.7155380000000005E-2</v>
      </c>
      <c r="AU39">
        <v>-9.9405469999999996E-2</v>
      </c>
      <c r="AV39">
        <v>3.3795199999999997E-2</v>
      </c>
      <c r="AW39">
        <v>1.6018148999999999E-2</v>
      </c>
      <c r="AX39">
        <v>0.30193750000000003</v>
      </c>
      <c r="AY39">
        <v>-6.5779050000000006E-2</v>
      </c>
      <c r="AZ39">
        <v>-0.47501448000000002</v>
      </c>
      <c r="BA39">
        <v>-0.12518103</v>
      </c>
      <c r="BB39">
        <v>5.3592714999999999E-2</v>
      </c>
      <c r="BC39">
        <v>-0.27921507000000001</v>
      </c>
      <c r="BD39">
        <v>0.23618211</v>
      </c>
      <c r="BE39">
        <v>-0.40396031999999998</v>
      </c>
      <c r="BF39">
        <v>0.24777773</v>
      </c>
      <c r="BG39">
        <v>0.1258473</v>
      </c>
      <c r="BH39">
        <v>-0.14335609999999999</v>
      </c>
      <c r="BI39">
        <v>-0.25330081999999998</v>
      </c>
      <c r="BJ39">
        <v>-7.7609410000000004E-2</v>
      </c>
      <c r="BK39">
        <v>0.16398188</v>
      </c>
      <c r="BL39">
        <v>0.52802930000000003</v>
      </c>
      <c r="BM39">
        <v>7.7639474999999999E-2</v>
      </c>
      <c r="BN39">
        <v>0.31193769999999998</v>
      </c>
      <c r="BO39">
        <v>0.10862602</v>
      </c>
      <c r="BP39">
        <v>0.4278594</v>
      </c>
      <c r="BQ39">
        <v>0.20004672000000001</v>
      </c>
      <c r="BR39">
        <v>0.30282136999999998</v>
      </c>
      <c r="BS39">
        <v>4.3850989999999999E-3</v>
      </c>
      <c r="BT39">
        <v>2.2305707000000001E-2</v>
      </c>
      <c r="BU39">
        <v>0.45024332</v>
      </c>
      <c r="BV39">
        <v>-0.23907945</v>
      </c>
      <c r="BW39">
        <v>-0.31077769999999999</v>
      </c>
      <c r="BX39">
        <v>0.15090445</v>
      </c>
      <c r="BY39">
        <v>0.2186797</v>
      </c>
      <c r="BZ39">
        <v>0.26307534999999999</v>
      </c>
      <c r="CA39">
        <v>0.21742205000000001</v>
      </c>
      <c r="CB39">
        <v>0.13593416999999999</v>
      </c>
      <c r="CC39">
        <v>0.21182337000000001</v>
      </c>
      <c r="CD39">
        <v>1.1504471E-2</v>
      </c>
      <c r="CE39">
        <v>8.7530289999999997E-2</v>
      </c>
      <c r="CF39">
        <v>-0.23955728000000001</v>
      </c>
      <c r="CG39">
        <v>-0.35284945000000001</v>
      </c>
      <c r="CH39">
        <v>8.2828520000000003E-2</v>
      </c>
      <c r="CI39">
        <v>7.5198059999999997E-2</v>
      </c>
      <c r="CJ39">
        <v>-0.23718499000000001</v>
      </c>
      <c r="CK39">
        <v>-0.28014236999999997</v>
      </c>
      <c r="CL39">
        <v>0.29527884999999998</v>
      </c>
      <c r="CM39">
        <v>-8.3514035E-2</v>
      </c>
      <c r="CN39">
        <v>3.0184187000000001E-2</v>
      </c>
      <c r="CO39">
        <v>4.9896362999999999E-2</v>
      </c>
      <c r="CP39">
        <v>-0.12152651</v>
      </c>
      <c r="CQ39">
        <v>-0.39572370000000001</v>
      </c>
      <c r="CR39">
        <v>-0.16890637999999999</v>
      </c>
      <c r="CS39">
        <v>5.8361530000000002E-2</v>
      </c>
      <c r="CT39">
        <v>4.6532537999999998E-2</v>
      </c>
      <c r="CU39">
        <v>-4.6884614999999998E-2</v>
      </c>
      <c r="CV39">
        <v>0.20830261999999999</v>
      </c>
      <c r="CW39">
        <v>-4.8648826999999999E-2</v>
      </c>
      <c r="CX39">
        <v>0.11474609400000001</v>
      </c>
      <c r="CY39">
        <v>0.25318837</v>
      </c>
      <c r="CZ39">
        <v>-7.3756329999999995E-2</v>
      </c>
      <c r="DA39">
        <v>0.27552884999999999</v>
      </c>
      <c r="DB39">
        <v>-0.24963668</v>
      </c>
      <c r="DC39">
        <v>-0.20936571000000001</v>
      </c>
      <c r="DD39">
        <v>-4.7763119999999999E-2</v>
      </c>
      <c r="DE39">
        <v>0.28453590000000001</v>
      </c>
      <c r="DF39">
        <v>0.31978223</v>
      </c>
      <c r="DG39">
        <v>-0.22833030000000001</v>
      </c>
      <c r="DH39">
        <v>0.13615443999999999</v>
      </c>
      <c r="DI39">
        <v>0.10906381</v>
      </c>
      <c r="DJ39">
        <v>-0.18870903999999999</v>
      </c>
      <c r="DK39">
        <v>0.13173443000000001</v>
      </c>
      <c r="DL39">
        <v>0.30644717999999999</v>
      </c>
      <c r="DM39">
        <v>0.44568606999999999</v>
      </c>
      <c r="DN39">
        <v>-0.10330302</v>
      </c>
      <c r="DO39">
        <v>-1.5689680000000001E-2</v>
      </c>
      <c r="DP39">
        <v>9.6839839999999996E-2</v>
      </c>
      <c r="DQ39">
        <v>-7.1532979999999996E-2</v>
      </c>
      <c r="DR39">
        <v>8.4409860000000003E-2</v>
      </c>
      <c r="DS39">
        <v>-0.34951739999999998</v>
      </c>
      <c r="DT39">
        <v>0.47970507000000001</v>
      </c>
      <c r="DU39">
        <v>-3.1676578999999998E-3</v>
      </c>
      <c r="DV39">
        <v>-2.5298136999999999E-3</v>
      </c>
      <c r="DW39">
        <v>0.36559417999999999</v>
      </c>
      <c r="DX39">
        <v>-0.38999509999999998</v>
      </c>
      <c r="DY39">
        <v>-0.11137777</v>
      </c>
      <c r="DZ39">
        <v>-0.2441305</v>
      </c>
    </row>
    <row r="40" spans="1:130" x14ac:dyDescent="0.3">
      <c r="A40">
        <f>Board!$B$5</f>
        <v>0</v>
      </c>
      <c r="C40">
        <v>-0.22521225</v>
      </c>
      <c r="D40">
        <v>-0.12363563</v>
      </c>
      <c r="E40">
        <v>-0.14309151000000001</v>
      </c>
      <c r="F40">
        <v>0.32668918000000002</v>
      </c>
      <c r="G40">
        <v>1.8689562E-2</v>
      </c>
      <c r="H40">
        <v>-0.17130247000000001</v>
      </c>
      <c r="I40">
        <v>-0.22086331000000001</v>
      </c>
      <c r="J40">
        <v>-0.16456324</v>
      </c>
      <c r="K40">
        <v>0.19818547</v>
      </c>
      <c r="L40">
        <v>-7.5727336000000006E-2</v>
      </c>
      <c r="M40">
        <v>-0.12366592999999999</v>
      </c>
      <c r="N40">
        <v>-0.13968702</v>
      </c>
      <c r="O40">
        <v>0.2659454</v>
      </c>
      <c r="P40">
        <v>0.16152367000000001</v>
      </c>
      <c r="Q40">
        <v>0.14892184999999999</v>
      </c>
      <c r="R40">
        <v>-0.24151984000000001</v>
      </c>
      <c r="S40">
        <v>-8.9717439999999996E-2</v>
      </c>
      <c r="T40">
        <v>-8.2209000000000004E-2</v>
      </c>
      <c r="U40">
        <v>-5.9063963999999997E-2</v>
      </c>
      <c r="V40">
        <v>0.2170021</v>
      </c>
      <c r="W40">
        <v>0.24265543000000001</v>
      </c>
      <c r="X40">
        <v>0.14916557</v>
      </c>
      <c r="Y40">
        <v>0.23997176000000001</v>
      </c>
      <c r="Z40">
        <v>-0.30241689999999999</v>
      </c>
      <c r="AA40">
        <v>-2.08325E-2</v>
      </c>
      <c r="AB40">
        <v>-0.16571131</v>
      </c>
      <c r="AC40">
        <v>0.12563513000000001</v>
      </c>
      <c r="AD40">
        <v>5.8363936999999998E-2</v>
      </c>
      <c r="AE40">
        <v>-9.5586229999999994E-2</v>
      </c>
      <c r="AF40">
        <v>-0.15110923000000001</v>
      </c>
      <c r="AG40">
        <v>0.24041541999999999</v>
      </c>
      <c r="AH40">
        <v>4.1714527000000001E-2</v>
      </c>
      <c r="AI40">
        <v>0.29741109999999998</v>
      </c>
      <c r="AJ40">
        <v>-0.11264417</v>
      </c>
      <c r="AK40">
        <v>-0.11891536</v>
      </c>
      <c r="AL40">
        <v>0.18224712000000001</v>
      </c>
      <c r="AM40">
        <v>0.19163533999999999</v>
      </c>
      <c r="AN40">
        <v>0.23862259</v>
      </c>
      <c r="AO40">
        <v>-0.11389265</v>
      </c>
      <c r="AP40">
        <v>0.11033005999999999</v>
      </c>
      <c r="AQ40">
        <v>-4.8923302000000002E-2</v>
      </c>
      <c r="AR40">
        <v>0.36068877999999999</v>
      </c>
      <c r="AS40">
        <v>-0.13193576000000001</v>
      </c>
      <c r="AT40">
        <v>0.11815796000000001</v>
      </c>
      <c r="AU40">
        <v>-3.5302899999999998E-2</v>
      </c>
      <c r="AV40">
        <v>7.2227269999999996E-2</v>
      </c>
      <c r="AW40">
        <v>0.24721134</v>
      </c>
      <c r="AX40">
        <v>3.6650394999999999E-3</v>
      </c>
      <c r="AY40">
        <v>-0.22997360999999999</v>
      </c>
      <c r="AZ40">
        <v>0.25137480000000001</v>
      </c>
      <c r="BA40">
        <v>-0.10782068</v>
      </c>
      <c r="BB40">
        <v>0.2708219</v>
      </c>
      <c r="BC40">
        <v>-0.12086092</v>
      </c>
      <c r="BD40">
        <v>-7.9921099999999995E-2</v>
      </c>
      <c r="BE40">
        <v>-4.9193754999999999E-2</v>
      </c>
      <c r="BF40">
        <v>-0.18486348</v>
      </c>
      <c r="BG40">
        <v>0.23508123</v>
      </c>
      <c r="BH40">
        <v>-0.10751728000000001</v>
      </c>
      <c r="BI40">
        <v>-0.14960288999999999</v>
      </c>
      <c r="BJ40">
        <v>1.4341855000000001E-2</v>
      </c>
      <c r="BK40">
        <v>0.19852243</v>
      </c>
      <c r="BL40">
        <v>-0.20723182000000001</v>
      </c>
      <c r="BM40">
        <v>0.13949487999999999</v>
      </c>
      <c r="BN40">
        <v>9.6016790000000005E-2</v>
      </c>
      <c r="BO40">
        <v>4.911182E-2</v>
      </c>
      <c r="BP40">
        <v>-0.16458547000000001</v>
      </c>
      <c r="BQ40">
        <v>-4.3685015000000001E-2</v>
      </c>
      <c r="BR40">
        <v>3.7653885999999998E-2</v>
      </c>
      <c r="BS40">
        <v>-0.17546978999999999</v>
      </c>
      <c r="BT40">
        <v>-0.12822193000000001</v>
      </c>
      <c r="BU40">
        <v>-0.123691365</v>
      </c>
      <c r="BV40">
        <v>0.3921036</v>
      </c>
      <c r="BW40">
        <v>6.1247487000000003E-2</v>
      </c>
      <c r="BX40">
        <v>-2.9404079999999999E-2</v>
      </c>
      <c r="BY40">
        <v>-0.23785790000000001</v>
      </c>
      <c r="BZ40">
        <v>1.8378189E-2</v>
      </c>
      <c r="CA40">
        <v>4.1005096999999997E-2</v>
      </c>
      <c r="CB40">
        <v>0.38527297999999999</v>
      </c>
      <c r="CC40">
        <v>-0.13812914000000001</v>
      </c>
      <c r="CD40">
        <v>5.6396190000000002E-3</v>
      </c>
      <c r="CE40">
        <v>-0.21893318000000001</v>
      </c>
      <c r="CF40">
        <v>0.27448603999999999</v>
      </c>
      <c r="CG40">
        <v>0.40021825</v>
      </c>
      <c r="CH40">
        <v>0.36154687000000002</v>
      </c>
      <c r="CI40">
        <v>-1.9498999999999999E-2</v>
      </c>
      <c r="CJ40">
        <v>9.1352029999999997E-3</v>
      </c>
      <c r="CK40">
        <v>0.19536534999999999</v>
      </c>
      <c r="CL40">
        <v>0.13165550000000001</v>
      </c>
      <c r="CM40">
        <v>-7.5161389999999995E-2</v>
      </c>
      <c r="CN40">
        <v>0.21801181</v>
      </c>
      <c r="CO40">
        <v>-4.1954233999999999E-5</v>
      </c>
      <c r="CP40">
        <v>0.13373072</v>
      </c>
      <c r="CQ40">
        <v>-9.609036E-2</v>
      </c>
      <c r="CR40">
        <v>1.7327722E-2</v>
      </c>
      <c r="CS40">
        <v>0.17460512</v>
      </c>
      <c r="CT40">
        <v>-4.7414273E-2</v>
      </c>
      <c r="CU40">
        <v>-0.26226178</v>
      </c>
      <c r="CV40">
        <v>3.0532578000000001E-2</v>
      </c>
      <c r="CW40">
        <v>0.13013399</v>
      </c>
      <c r="CX40">
        <v>-8.3896085999999995E-2</v>
      </c>
      <c r="CY40">
        <v>-0.32125094999999998</v>
      </c>
      <c r="CZ40">
        <v>0.10841981000000001</v>
      </c>
      <c r="DA40">
        <v>-0.16235964</v>
      </c>
      <c r="DB40">
        <v>0.19431432000000001</v>
      </c>
      <c r="DC40">
        <v>-0.14515728</v>
      </c>
      <c r="DD40">
        <v>-0.16314598999999999</v>
      </c>
      <c r="DE40">
        <v>-8.1818390000000005E-2</v>
      </c>
      <c r="DF40">
        <v>0.27904469999999998</v>
      </c>
      <c r="DG40">
        <v>0.26466697</v>
      </c>
      <c r="DH40">
        <v>-0.23329891</v>
      </c>
      <c r="DI40">
        <v>2.0613659999999999E-2</v>
      </c>
      <c r="DJ40">
        <v>0.16529316999999999</v>
      </c>
      <c r="DK40">
        <v>4.9072484999999999E-2</v>
      </c>
      <c r="DL40">
        <v>-1.5460588000000001E-2</v>
      </c>
      <c r="DM40">
        <v>-0.19206904999999999</v>
      </c>
      <c r="DN40">
        <v>-0.19387869999999999</v>
      </c>
      <c r="DO40">
        <v>-2.3998321999999999E-2</v>
      </c>
      <c r="DP40">
        <v>-0.13070549000000001</v>
      </c>
      <c r="DQ40">
        <v>5.7160365999999997E-2</v>
      </c>
      <c r="DR40">
        <v>-0.11709622</v>
      </c>
      <c r="DS40">
        <v>7.3147809999999994E-2</v>
      </c>
      <c r="DT40">
        <v>0.15529945000000001</v>
      </c>
      <c r="DU40">
        <v>0.22105627</v>
      </c>
      <c r="DV40">
        <v>6.0842159999999999E-2</v>
      </c>
      <c r="DW40">
        <v>0.33520470000000002</v>
      </c>
      <c r="DX40">
        <v>0.37246212000000001</v>
      </c>
      <c r="DY40">
        <v>0.35679227000000002</v>
      </c>
      <c r="DZ40">
        <v>-6.1166341999999999E-2</v>
      </c>
    </row>
    <row r="41" spans="1:130" x14ac:dyDescent="0.3">
      <c r="A41">
        <f>Board!$C$5</f>
        <v>0</v>
      </c>
      <c r="C41">
        <v>3.4452009000000001E-3</v>
      </c>
      <c r="D41">
        <v>-0.13686527000000001</v>
      </c>
      <c r="E41">
        <v>3.1561194999999999E-3</v>
      </c>
      <c r="F41">
        <v>0.13599454</v>
      </c>
      <c r="G41">
        <v>-0.26329824000000002</v>
      </c>
      <c r="H41">
        <v>-0.33400792000000001</v>
      </c>
      <c r="I41">
        <v>-0.34930396000000002</v>
      </c>
      <c r="J41">
        <v>0.15127536999999999</v>
      </c>
      <c r="K41">
        <v>0.1639149</v>
      </c>
      <c r="L41">
        <v>-0.111253396</v>
      </c>
      <c r="M41">
        <v>-4.1009795000000002E-2</v>
      </c>
      <c r="N41">
        <v>-6.2968039999999996E-3</v>
      </c>
      <c r="O41">
        <v>0.23890581999999999</v>
      </c>
      <c r="P41">
        <v>0.19523355000000001</v>
      </c>
      <c r="Q41">
        <v>5.6064453E-2</v>
      </c>
      <c r="R41">
        <v>-1.4071536E-3</v>
      </c>
      <c r="S41">
        <v>-6.7469550000000003E-2</v>
      </c>
      <c r="T41">
        <v>-0.17629500000000001</v>
      </c>
      <c r="U41">
        <v>-0.51380289999999995</v>
      </c>
      <c r="V41">
        <v>9.5621090000000006E-2</v>
      </c>
      <c r="W41">
        <v>0.17396268000000001</v>
      </c>
      <c r="X41">
        <v>-0.15536576999999999</v>
      </c>
      <c r="Y41">
        <v>0.1917016</v>
      </c>
      <c r="Z41">
        <v>-0.35288733</v>
      </c>
      <c r="AA41">
        <v>7.1850720000000007E-2</v>
      </c>
      <c r="AB41">
        <v>0.55180090000000004</v>
      </c>
      <c r="AC41">
        <v>-6.9906079999999995E-2</v>
      </c>
      <c r="AD41">
        <v>9.0713479999999999E-2</v>
      </c>
      <c r="AE41">
        <v>1.3754829999999999E-2</v>
      </c>
      <c r="AF41">
        <v>-0.24345310000000001</v>
      </c>
      <c r="AG41">
        <v>0.10427016</v>
      </c>
      <c r="AH41">
        <v>-0.19427347</v>
      </c>
      <c r="AI41">
        <v>0.13834225</v>
      </c>
      <c r="AJ41">
        <v>-0.12010374</v>
      </c>
      <c r="AK41">
        <v>-8.5127346000000007E-2</v>
      </c>
      <c r="AL41">
        <v>0.19488004</v>
      </c>
      <c r="AM41">
        <v>-0.22240056</v>
      </c>
      <c r="AN41">
        <v>7.3275660000000006E-2</v>
      </c>
      <c r="AO41">
        <v>0.22114924</v>
      </c>
      <c r="AP41">
        <v>1.8735813E-2</v>
      </c>
      <c r="AQ41">
        <v>-0.2651674</v>
      </c>
      <c r="AR41">
        <v>0.18526411000000001</v>
      </c>
      <c r="AS41">
        <v>-0.16915874</v>
      </c>
      <c r="AT41">
        <v>0.37218899999999999</v>
      </c>
      <c r="AU41">
        <v>0.24922928</v>
      </c>
      <c r="AV41">
        <v>-1.6914651000000001E-3</v>
      </c>
      <c r="AW41">
        <v>-5.5363490000000001E-2</v>
      </c>
      <c r="AX41">
        <v>-0.4134545</v>
      </c>
      <c r="AY41">
        <v>-0.22578129999999999</v>
      </c>
      <c r="AZ41">
        <v>-9.0452395000000005E-2</v>
      </c>
      <c r="BA41">
        <v>0.16055422999999999</v>
      </c>
      <c r="BB41">
        <v>0.13084299999999999</v>
      </c>
      <c r="BC41">
        <v>6.8025626000000006E-2</v>
      </c>
      <c r="BD41">
        <v>-0.23295018000000001</v>
      </c>
      <c r="BE41">
        <v>0.12644317999999999</v>
      </c>
      <c r="BF41">
        <v>-0.29668169999999999</v>
      </c>
      <c r="BG41">
        <v>0.20690273000000001</v>
      </c>
      <c r="BH41">
        <v>-7.4817813999999996E-2</v>
      </c>
      <c r="BI41">
        <v>0.15244028000000001</v>
      </c>
      <c r="BJ41">
        <v>0.21840744000000001</v>
      </c>
      <c r="BK41">
        <v>-5.4034619999999998E-2</v>
      </c>
      <c r="BL41">
        <v>-1.5596926000000001E-2</v>
      </c>
      <c r="BM41">
        <v>8.5637290000000008E-3</v>
      </c>
      <c r="BN41">
        <v>1.22616915E-2</v>
      </c>
      <c r="BO41">
        <v>0.15309009000000001</v>
      </c>
      <c r="BP41">
        <v>-3.4402509999999997E-2</v>
      </c>
      <c r="BQ41">
        <v>0.11152194999999999</v>
      </c>
      <c r="BR41">
        <v>-0.28582117000000001</v>
      </c>
      <c r="BS41">
        <v>-0.35077488000000001</v>
      </c>
      <c r="BT41">
        <v>0.21240780000000001</v>
      </c>
      <c r="BU41">
        <v>-0.22862357999999999</v>
      </c>
      <c r="BV41">
        <v>0.16235063999999999</v>
      </c>
      <c r="BW41">
        <v>0.16588241000000001</v>
      </c>
      <c r="BX41">
        <v>-0.23542120999999999</v>
      </c>
      <c r="BY41">
        <v>1.6470282999999999E-3</v>
      </c>
      <c r="BZ41">
        <v>0.14039762</v>
      </c>
      <c r="CA41">
        <v>-1.0114909E-2</v>
      </c>
      <c r="CB41">
        <v>0.52490515000000004</v>
      </c>
      <c r="CC41">
        <v>-2.0106735000000001E-2</v>
      </c>
      <c r="CD41">
        <v>8.2262680000000005E-2</v>
      </c>
      <c r="CE41">
        <v>7.138775E-2</v>
      </c>
      <c r="CF41">
        <v>-1.6474877999999998E-2</v>
      </c>
      <c r="CG41">
        <v>0.37786815000000001</v>
      </c>
      <c r="CH41">
        <v>0.38300400000000001</v>
      </c>
      <c r="CI41">
        <v>-0.26664606000000002</v>
      </c>
      <c r="CJ41">
        <v>-0.16420612000000001</v>
      </c>
      <c r="CK41">
        <v>-9.4067880000000006E-2</v>
      </c>
      <c r="CL41">
        <v>2.7564836999999998E-2</v>
      </c>
      <c r="CM41">
        <v>-0.11613965</v>
      </c>
      <c r="CN41">
        <v>5.021486E-2</v>
      </c>
      <c r="CO41">
        <v>-3.7739886000000001E-4</v>
      </c>
      <c r="CP41">
        <v>2.3227649E-2</v>
      </c>
      <c r="CQ41">
        <v>-0.15915657999999999</v>
      </c>
      <c r="CR41">
        <v>-0.23703046</v>
      </c>
      <c r="CS41">
        <v>0.24878156000000001</v>
      </c>
      <c r="CT41">
        <v>0.10391781999999999</v>
      </c>
      <c r="CU41">
        <v>0.17134426999999999</v>
      </c>
      <c r="CV41">
        <v>-6.2071309999999998E-2</v>
      </c>
      <c r="CW41">
        <v>6.0314949999999999E-2</v>
      </c>
      <c r="CX41">
        <v>0.14239193</v>
      </c>
      <c r="CY41">
        <v>-9.6571690000000002E-3</v>
      </c>
      <c r="CZ41">
        <v>6.4798690000000006E-2</v>
      </c>
      <c r="DA41">
        <v>-0.21741189999999999</v>
      </c>
      <c r="DB41">
        <v>0.2468525</v>
      </c>
      <c r="DC41">
        <v>-0.20960210000000001</v>
      </c>
      <c r="DD41">
        <v>-0.17511514</v>
      </c>
      <c r="DE41">
        <v>-8.8908390000000004E-2</v>
      </c>
      <c r="DF41">
        <v>0.2029541</v>
      </c>
      <c r="DG41">
        <v>-3.1220906999999999E-2</v>
      </c>
      <c r="DH41">
        <v>-0.29181147000000002</v>
      </c>
      <c r="DI41">
        <v>-0.17084013000000001</v>
      </c>
      <c r="DJ41">
        <v>0.15652668</v>
      </c>
      <c r="DK41">
        <v>9.2085979999999998E-2</v>
      </c>
      <c r="DL41">
        <v>-0.19374467000000001</v>
      </c>
      <c r="DM41">
        <v>-0.19578013999999999</v>
      </c>
      <c r="DN41">
        <v>0.27738592000000001</v>
      </c>
      <c r="DO41">
        <v>0.13952344999999999</v>
      </c>
      <c r="DP41">
        <v>-5.8912182999999998E-3</v>
      </c>
      <c r="DQ41">
        <v>-0.14606677000000001</v>
      </c>
      <c r="DR41">
        <v>-1.8200666000000001E-2</v>
      </c>
      <c r="DS41">
        <v>0.12968962000000001</v>
      </c>
      <c r="DT41">
        <v>-0.26029855000000002</v>
      </c>
      <c r="DU41">
        <v>-0.1085189</v>
      </c>
      <c r="DV41">
        <v>0.1027798</v>
      </c>
      <c r="DW41">
        <v>-1.1506773E-2</v>
      </c>
      <c r="DX41">
        <v>2.867546E-2</v>
      </c>
      <c r="DY41">
        <v>0.16576469999999999</v>
      </c>
      <c r="DZ41">
        <v>0.32766855</v>
      </c>
    </row>
    <row r="42" spans="1:130" x14ac:dyDescent="0.3">
      <c r="A42">
        <f>Board!$D$5</f>
        <v>1</v>
      </c>
      <c r="C42">
        <v>-0.20404974000000001</v>
      </c>
      <c r="D42">
        <v>9.4150840000000006E-3</v>
      </c>
      <c r="E42">
        <v>-0.21505567</v>
      </c>
      <c r="F42">
        <v>0.20839250000000001</v>
      </c>
      <c r="G42">
        <v>-9.1950970000000007E-2</v>
      </c>
      <c r="H42">
        <v>-0.19280146000000001</v>
      </c>
      <c r="I42">
        <v>0.12142674000000001</v>
      </c>
      <c r="J42">
        <v>0.18223417</v>
      </c>
      <c r="K42">
        <v>4.9005390000000003E-2</v>
      </c>
      <c r="L42">
        <v>-0.15970385000000001</v>
      </c>
      <c r="M42">
        <v>-1.3553427999999999E-2</v>
      </c>
      <c r="N42">
        <v>5.0178897E-2</v>
      </c>
      <c r="O42">
        <v>0.14342041</v>
      </c>
      <c r="P42">
        <v>6.5692719999999996E-2</v>
      </c>
      <c r="Q42">
        <v>2.3211543000000001E-2</v>
      </c>
      <c r="R42">
        <v>-0.1120613</v>
      </c>
      <c r="S42">
        <v>4.8852964999999998E-2</v>
      </c>
      <c r="T42">
        <v>9.0443410000000002E-2</v>
      </c>
      <c r="U42">
        <v>-8.9849020000000002E-2</v>
      </c>
      <c r="V42">
        <v>6.8045759999999997E-2</v>
      </c>
      <c r="W42">
        <v>9.8617174000000002E-2</v>
      </c>
      <c r="X42">
        <v>-0.19807770999999999</v>
      </c>
      <c r="Y42">
        <v>0.20965537000000001</v>
      </c>
      <c r="Z42">
        <v>-0.34584692</v>
      </c>
      <c r="AA42">
        <v>0.24750847000000001</v>
      </c>
      <c r="AB42">
        <v>0.20609169999999999</v>
      </c>
      <c r="AC42">
        <v>-4.2755899999999999E-2</v>
      </c>
      <c r="AD42">
        <v>3.0346125000000002E-2</v>
      </c>
      <c r="AE42">
        <v>0.15112903999999999</v>
      </c>
      <c r="AF42">
        <v>-0.46493184999999998</v>
      </c>
      <c r="AG42">
        <v>0.17838760000000001</v>
      </c>
      <c r="AH42">
        <v>-0.18355341</v>
      </c>
      <c r="AI42">
        <v>0.17196755</v>
      </c>
      <c r="AJ42">
        <v>9.024778E-2</v>
      </c>
      <c r="AK42">
        <v>1.5315518E-2</v>
      </c>
      <c r="AL42">
        <v>0.15601293999999999</v>
      </c>
      <c r="AM42">
        <v>-4.8552930000000001E-2</v>
      </c>
      <c r="AN42">
        <v>-5.0048580000000002E-2</v>
      </c>
      <c r="AO42">
        <v>0.14067528000000001</v>
      </c>
      <c r="AP42">
        <v>-0.18611320000000001</v>
      </c>
      <c r="AQ42">
        <v>-0.15477769</v>
      </c>
      <c r="AR42">
        <v>0.1459984</v>
      </c>
      <c r="AS42">
        <v>1.7877534E-2</v>
      </c>
      <c r="AT42">
        <v>0.16949832000000001</v>
      </c>
      <c r="AU42">
        <v>6.9125990000000002E-3</v>
      </c>
      <c r="AV42">
        <v>-0.20917645000000001</v>
      </c>
      <c r="AW42">
        <v>0.10531453</v>
      </c>
      <c r="AX42">
        <v>-1.1429455999999999E-2</v>
      </c>
      <c r="AY42">
        <v>-0.25505729999999999</v>
      </c>
      <c r="AZ42">
        <v>0.14776110000000001</v>
      </c>
      <c r="BA42">
        <v>0.124822564</v>
      </c>
      <c r="BB42">
        <v>-2.2078736000000002E-2</v>
      </c>
      <c r="BC42">
        <v>-0.25192300000000001</v>
      </c>
      <c r="BD42">
        <v>-0.19044828</v>
      </c>
      <c r="BE42">
        <v>2.610502E-2</v>
      </c>
      <c r="BF42">
        <v>-0.36161533000000001</v>
      </c>
      <c r="BG42">
        <v>0.10798002</v>
      </c>
      <c r="BH42">
        <v>-0.10874544999999999</v>
      </c>
      <c r="BI42">
        <v>0.10177663000000001</v>
      </c>
      <c r="BJ42">
        <v>6.4472639999999998E-2</v>
      </c>
      <c r="BK42">
        <v>6.9841940000000005E-2</v>
      </c>
      <c r="BL42">
        <v>0.12740709</v>
      </c>
      <c r="BM42">
        <v>-2.3397350000000001E-2</v>
      </c>
      <c r="BN42">
        <v>8.3715625000000002E-2</v>
      </c>
      <c r="BO42">
        <v>-0.14465856999999999</v>
      </c>
      <c r="BP42">
        <v>7.0372290000000004E-2</v>
      </c>
      <c r="BQ42">
        <v>3.5201973999999997E-2</v>
      </c>
      <c r="BR42">
        <v>-0.16028497999999999</v>
      </c>
      <c r="BS42">
        <v>-0.22381292</v>
      </c>
      <c r="BT42">
        <v>-4.7223420000000002E-2</v>
      </c>
      <c r="BU42">
        <v>-0.33516087999999999</v>
      </c>
      <c r="BV42">
        <v>-4.6770829999999999E-2</v>
      </c>
      <c r="BW42">
        <v>0.1604816</v>
      </c>
      <c r="BX42">
        <v>-0.29358968000000002</v>
      </c>
      <c r="BY42">
        <v>-9.7036629999999995E-3</v>
      </c>
      <c r="BZ42">
        <v>-9.6947450000000004E-2</v>
      </c>
      <c r="CA42">
        <v>-7.1583291999999998E-3</v>
      </c>
      <c r="CB42">
        <v>0.20257080999999999</v>
      </c>
      <c r="CC42">
        <v>2.1587552999999999E-2</v>
      </c>
      <c r="CD42">
        <v>4.8789977999999998E-2</v>
      </c>
      <c r="CE42">
        <v>6.8936855000000005E-2</v>
      </c>
      <c r="CF42">
        <v>0.2166421</v>
      </c>
      <c r="CG42">
        <v>9.0536060000000002E-2</v>
      </c>
      <c r="CH42">
        <v>7.7944760000000002E-2</v>
      </c>
      <c r="CI42">
        <v>-0.10492397000000001</v>
      </c>
      <c r="CJ42">
        <v>-8.3790439999999994E-2</v>
      </c>
      <c r="CK42">
        <v>-6.3869529999999994E-2</v>
      </c>
      <c r="CL42">
        <v>7.5805570000000003E-2</v>
      </c>
      <c r="CM42">
        <v>-0.27450985</v>
      </c>
      <c r="CN42">
        <v>0.28893859999999999</v>
      </c>
      <c r="CO42">
        <v>-0.16612831</v>
      </c>
      <c r="CP42">
        <v>3.6711646E-3</v>
      </c>
      <c r="CQ42">
        <v>7.7782889999999993E-2</v>
      </c>
      <c r="CR42">
        <v>-0.4217013</v>
      </c>
      <c r="CS42">
        <v>0.27919181999999998</v>
      </c>
      <c r="CT42">
        <v>0.10560971</v>
      </c>
      <c r="CU42">
        <v>-0.10698452999999999</v>
      </c>
      <c r="CV42">
        <v>-0.15758920000000001</v>
      </c>
      <c r="CW42">
        <v>-1.0506493E-2</v>
      </c>
      <c r="CX42">
        <v>0.19572997</v>
      </c>
      <c r="CY42">
        <v>-9.1552490000000007E-3</v>
      </c>
      <c r="CZ42">
        <v>0.11783046</v>
      </c>
      <c r="DA42">
        <v>-0.12891242</v>
      </c>
      <c r="DB42">
        <v>0.18768056999999999</v>
      </c>
      <c r="DC42">
        <v>-6.9158250000000004E-2</v>
      </c>
      <c r="DD42">
        <v>-0.1679435</v>
      </c>
      <c r="DE42">
        <v>8.2830619999999994E-2</v>
      </c>
      <c r="DF42">
        <v>7.7413364999999998E-2</v>
      </c>
      <c r="DG42">
        <v>-6.3159876000000004E-2</v>
      </c>
      <c r="DH42">
        <v>4.6256709999999999E-2</v>
      </c>
      <c r="DI42">
        <v>-9.2599699999999993E-2</v>
      </c>
      <c r="DJ42">
        <v>8.3776970000000006E-2</v>
      </c>
      <c r="DK42">
        <v>-6.619237E-2</v>
      </c>
      <c r="DL42">
        <v>-0.37144349999999998</v>
      </c>
      <c r="DM42">
        <v>-4.5314286000000002E-2</v>
      </c>
      <c r="DN42">
        <v>0.15402516999999999</v>
      </c>
      <c r="DO42">
        <v>0.10239208499999999</v>
      </c>
      <c r="DP42">
        <v>-0.23351354999999999</v>
      </c>
      <c r="DQ42">
        <v>-0.12359575</v>
      </c>
      <c r="DR42">
        <v>-0.28537303000000003</v>
      </c>
      <c r="DS42">
        <v>-0.11682615</v>
      </c>
      <c r="DT42">
        <v>7.7252395000000001E-2</v>
      </c>
      <c r="DU42">
        <v>4.3212042999999999E-4</v>
      </c>
      <c r="DV42">
        <v>-6.0269629999999998E-2</v>
      </c>
      <c r="DW42">
        <v>7.9652239999999999E-2</v>
      </c>
      <c r="DX42">
        <v>9.5683980000000002E-2</v>
      </c>
      <c r="DY42">
        <v>-2.5884853999999999E-2</v>
      </c>
      <c r="DZ42">
        <v>-9.3667600000000004E-2</v>
      </c>
    </row>
    <row r="43" spans="1:130" x14ac:dyDescent="0.3">
      <c r="A43">
        <f>Board!$E$5</f>
        <v>1</v>
      </c>
      <c r="C43">
        <v>8.0484815000000001E-2</v>
      </c>
      <c r="D43">
        <v>-5.5726007000000001E-2</v>
      </c>
      <c r="E43">
        <v>-3.156204E-2</v>
      </c>
      <c r="F43">
        <v>0.16442142000000001</v>
      </c>
      <c r="G43">
        <v>1.9389595999999999E-2</v>
      </c>
      <c r="H43">
        <v>-7.9556180000000004E-2</v>
      </c>
      <c r="I43">
        <v>-1.0599023000000001E-2</v>
      </c>
      <c r="J43">
        <v>0.15468299999999999</v>
      </c>
      <c r="K43">
        <v>3.5683251999999999E-2</v>
      </c>
      <c r="L43">
        <v>-6.9872946000000005E-2</v>
      </c>
      <c r="M43">
        <v>-8.7209369999999994E-2</v>
      </c>
      <c r="N43">
        <v>-0.14361271</v>
      </c>
      <c r="O43">
        <v>7.5180999999999998E-2</v>
      </c>
      <c r="P43">
        <v>6.5912870000000004E-3</v>
      </c>
      <c r="Q43">
        <v>-4.6760156999999997E-2</v>
      </c>
      <c r="R43">
        <v>0.16229469999999999</v>
      </c>
      <c r="S43">
        <v>0.21918756</v>
      </c>
      <c r="T43">
        <v>0.133432</v>
      </c>
      <c r="U43">
        <v>-0.23404256000000001</v>
      </c>
      <c r="V43">
        <v>2.6521021999999998E-2</v>
      </c>
      <c r="W43">
        <v>0.10440209</v>
      </c>
      <c r="X43">
        <v>0.21571425999999999</v>
      </c>
      <c r="Y43">
        <v>0.1821595</v>
      </c>
      <c r="Z43">
        <v>-0.23721449999999999</v>
      </c>
      <c r="AA43">
        <v>0.18677664999999999</v>
      </c>
      <c r="AB43">
        <v>-5.9813209999999999E-2</v>
      </c>
      <c r="AC43">
        <v>0.17510687</v>
      </c>
      <c r="AD43">
        <v>5.7479479999999999E-2</v>
      </c>
      <c r="AE43">
        <v>0.16890383</v>
      </c>
      <c r="AF43">
        <v>-0.54462116999999999</v>
      </c>
      <c r="AG43">
        <v>0.23532821000000001</v>
      </c>
      <c r="AH43">
        <v>-0.21578043999999999</v>
      </c>
      <c r="AI43">
        <v>0.13265662</v>
      </c>
      <c r="AJ43">
        <v>0.13206576</v>
      </c>
      <c r="AK43">
        <v>-9.4684489999999996E-2</v>
      </c>
      <c r="AL43">
        <v>0.13850937999999999</v>
      </c>
      <c r="AM43">
        <v>3.7955895000000003E-2</v>
      </c>
      <c r="AN43">
        <v>-9.3573039999999996E-2</v>
      </c>
      <c r="AO43">
        <v>0.21653913</v>
      </c>
      <c r="AP43">
        <v>-0.14788696000000001</v>
      </c>
      <c r="AQ43">
        <v>-0.14026791</v>
      </c>
      <c r="AR43">
        <v>-6.9914972000000002E-3</v>
      </c>
      <c r="AS43">
        <v>-0.19648436</v>
      </c>
      <c r="AT43">
        <v>0.25446326000000002</v>
      </c>
      <c r="AU43">
        <v>-2.8355973E-2</v>
      </c>
      <c r="AV43">
        <v>-6.3813140000000004E-2</v>
      </c>
      <c r="AW43">
        <v>-8.7661869999999999E-3</v>
      </c>
      <c r="AX43">
        <v>-7.4382833999999995E-2</v>
      </c>
      <c r="AY43">
        <v>-0.15160680000000001</v>
      </c>
      <c r="AZ43">
        <v>0.19425365</v>
      </c>
      <c r="BA43">
        <v>0.17207890000000001</v>
      </c>
      <c r="BB43">
        <v>-7.5831293999999994E-2</v>
      </c>
      <c r="BC43">
        <v>-0.2162491</v>
      </c>
      <c r="BD43">
        <v>-0.22855659</v>
      </c>
      <c r="BE43">
        <v>6.9645843999999998E-2</v>
      </c>
      <c r="BF43">
        <v>-5.9111770000000001E-2</v>
      </c>
      <c r="BG43">
        <v>0.12140437</v>
      </c>
      <c r="BH43">
        <v>-7.2658434999999993E-2</v>
      </c>
      <c r="BI43">
        <v>1.5055914E-2</v>
      </c>
      <c r="BJ43">
        <v>1.2330664999999999E-2</v>
      </c>
      <c r="BK43">
        <v>4.4400502000000001E-2</v>
      </c>
      <c r="BL43">
        <v>0.18080346</v>
      </c>
      <c r="BM43">
        <v>-0.11631292</v>
      </c>
      <c r="BN43">
        <v>0.12429186</v>
      </c>
      <c r="BO43">
        <v>-6.0713436000000001E-3</v>
      </c>
      <c r="BP43">
        <v>-9.4780530000000002E-3</v>
      </c>
      <c r="BQ43">
        <v>-0.17322570000000001</v>
      </c>
      <c r="BR43">
        <v>-0.46034449999999999</v>
      </c>
      <c r="BS43">
        <v>-6.5865179999999995E-2</v>
      </c>
      <c r="BT43">
        <v>-6.1940691999999999E-2</v>
      </c>
      <c r="BU43">
        <v>-0.37250146000000001</v>
      </c>
      <c r="BV43">
        <v>-3.6776110000000001E-2</v>
      </c>
      <c r="BW43">
        <v>-5.4755810000000002E-2</v>
      </c>
      <c r="BX43">
        <v>-0.21618514999999999</v>
      </c>
      <c r="BY43">
        <v>3.7076049999999999E-2</v>
      </c>
      <c r="BZ43">
        <v>-6.7251930000000001E-2</v>
      </c>
      <c r="CA43">
        <v>-9.9736093999999997E-2</v>
      </c>
      <c r="CB43">
        <v>0.19236461999999999</v>
      </c>
      <c r="CC43">
        <v>-0.29589185000000001</v>
      </c>
      <c r="CD43">
        <v>2.7645085E-2</v>
      </c>
      <c r="CE43">
        <v>0.16036687999999999</v>
      </c>
      <c r="CF43">
        <v>0.16144353</v>
      </c>
      <c r="CG43">
        <v>-0.30764950000000002</v>
      </c>
      <c r="CH43">
        <v>-0.10477210000000001</v>
      </c>
      <c r="CI43">
        <v>3.5904717000000003E-2</v>
      </c>
      <c r="CJ43">
        <v>4.5353003000000003E-2</v>
      </c>
      <c r="CK43">
        <v>5.9527165999999999E-2</v>
      </c>
      <c r="CL43">
        <v>7.1378469999999999E-2</v>
      </c>
      <c r="CM43">
        <v>-0.2633993</v>
      </c>
      <c r="CN43">
        <v>0.24968365000000001</v>
      </c>
      <c r="CO43">
        <v>-0.20544198</v>
      </c>
      <c r="CP43">
        <v>7.6374023999999999E-2</v>
      </c>
      <c r="CQ43">
        <v>-0.16580795000000001</v>
      </c>
      <c r="CR43">
        <v>-0.49249147999999998</v>
      </c>
      <c r="CS43">
        <v>0.29783604000000002</v>
      </c>
      <c r="CT43">
        <v>-5.7008940000000001E-2</v>
      </c>
      <c r="CU43">
        <v>6.4205624000000003E-2</v>
      </c>
      <c r="CV43">
        <v>9.1600055000000003E-3</v>
      </c>
      <c r="CW43">
        <v>2.8671445E-2</v>
      </c>
      <c r="CX43">
        <v>-1.7360756000000001E-2</v>
      </c>
      <c r="CY43">
        <v>4.6634469999999997E-2</v>
      </c>
      <c r="CZ43">
        <v>4.2403888000000001E-2</v>
      </c>
      <c r="DA43">
        <v>0.12156922000000001</v>
      </c>
      <c r="DB43">
        <v>0.26522257999999999</v>
      </c>
      <c r="DC43">
        <v>-0.13366921000000001</v>
      </c>
      <c r="DD43">
        <v>-0.48833188</v>
      </c>
      <c r="DE43">
        <v>0.20670496999999999</v>
      </c>
      <c r="DF43">
        <v>0.17730512000000001</v>
      </c>
      <c r="DG43">
        <v>-0.10857319999999999</v>
      </c>
      <c r="DH43">
        <v>5.6349539999999997E-2</v>
      </c>
      <c r="DI43">
        <v>0.10306694</v>
      </c>
      <c r="DJ43">
        <v>0.27567858000000001</v>
      </c>
      <c r="DK43">
        <v>-8.1452510000000006E-2</v>
      </c>
      <c r="DL43">
        <v>-0.20670168</v>
      </c>
      <c r="DM43">
        <v>0.22701505999999999</v>
      </c>
      <c r="DN43">
        <v>-0.22336565</v>
      </c>
      <c r="DO43">
        <v>4.1639559999999999E-2</v>
      </c>
      <c r="DP43">
        <v>-0.18369593000000001</v>
      </c>
      <c r="DQ43">
        <v>-0.40243719999999999</v>
      </c>
      <c r="DR43">
        <v>-0.33129734</v>
      </c>
      <c r="DS43">
        <v>0.16817999</v>
      </c>
      <c r="DT43">
        <v>0.28649132999999999</v>
      </c>
      <c r="DU43">
        <v>8.7254609999999996E-2</v>
      </c>
      <c r="DV43">
        <v>-0.18259136000000001</v>
      </c>
      <c r="DW43">
        <v>5.8330849999999997E-2</v>
      </c>
      <c r="DX43">
        <v>9.8420229999999997E-2</v>
      </c>
      <c r="DY43">
        <v>4.7271260000000002E-2</v>
      </c>
      <c r="DZ43">
        <v>-0.28193277</v>
      </c>
    </row>
    <row r="44" spans="1:130" x14ac:dyDescent="0.3">
      <c r="A44">
        <f>Board!$F$5</f>
        <v>0</v>
      </c>
      <c r="C44">
        <v>-3.5308896999999999E-2</v>
      </c>
      <c r="D44">
        <v>0.2377206</v>
      </c>
      <c r="E44">
        <v>8.6489549999999998E-2</v>
      </c>
      <c r="F44">
        <v>-0.12915451999999999</v>
      </c>
      <c r="G44">
        <v>9.6026249999999994E-2</v>
      </c>
      <c r="H44">
        <v>-0.14871483999999999</v>
      </c>
      <c r="I44">
        <v>0.19379041999999999</v>
      </c>
      <c r="J44">
        <v>0.23712053999999999</v>
      </c>
      <c r="K44">
        <v>3.8598828000000002E-2</v>
      </c>
      <c r="L44">
        <v>0.14423027999999999</v>
      </c>
      <c r="M44">
        <v>0.10992941000000001</v>
      </c>
      <c r="N44">
        <v>-0.55226129999999996</v>
      </c>
      <c r="O44">
        <v>0.19818003000000001</v>
      </c>
      <c r="P44">
        <v>8.3621379999999995E-2</v>
      </c>
      <c r="Q44">
        <v>0.17289341999999999</v>
      </c>
      <c r="R44">
        <v>-0.13533401</v>
      </c>
      <c r="S44">
        <v>0.25493686999999998</v>
      </c>
      <c r="T44">
        <v>0.32435407999999999</v>
      </c>
      <c r="U44">
        <v>0.1031572</v>
      </c>
      <c r="V44">
        <v>4.6873722E-2</v>
      </c>
      <c r="W44">
        <v>-4.6908540000000004E-3</v>
      </c>
      <c r="X44">
        <v>0.21199186</v>
      </c>
      <c r="Y44">
        <v>-2.1460988E-2</v>
      </c>
      <c r="Z44">
        <v>-0.13592583</v>
      </c>
      <c r="AA44">
        <v>0.11380537</v>
      </c>
      <c r="AB44">
        <v>3.3344845999999997E-2</v>
      </c>
      <c r="AC44">
        <v>9.8601765999999993E-2</v>
      </c>
      <c r="AD44">
        <v>4.8451546999999998E-2</v>
      </c>
      <c r="AE44">
        <v>0.15458590999999999</v>
      </c>
      <c r="AF44">
        <v>-7.1479305999999996E-3</v>
      </c>
      <c r="AG44">
        <v>-6.1453853000000003E-2</v>
      </c>
      <c r="AH44">
        <v>-0.17729196999999999</v>
      </c>
      <c r="AI44">
        <v>-0.104704514</v>
      </c>
      <c r="AJ44">
        <v>6.0622554000000002E-2</v>
      </c>
      <c r="AK44">
        <v>-1.8858856E-2</v>
      </c>
      <c r="AL44">
        <v>0.13963466999999999</v>
      </c>
      <c r="AM44">
        <v>0.18623322</v>
      </c>
      <c r="AN44">
        <v>6.1353980000000002E-2</v>
      </c>
      <c r="AO44">
        <v>0.22622376999999999</v>
      </c>
      <c r="AP44">
        <v>-0.22756009999999999</v>
      </c>
      <c r="AQ44">
        <v>-5.2647788000000001E-2</v>
      </c>
      <c r="AR44">
        <v>7.4188690000000002E-2</v>
      </c>
      <c r="AS44">
        <v>-0.15947679000000001</v>
      </c>
      <c r="AT44">
        <v>-0.2587544</v>
      </c>
      <c r="AU44">
        <v>0.16247958000000001</v>
      </c>
      <c r="AV44">
        <v>-2.8306331000000001E-2</v>
      </c>
      <c r="AW44">
        <v>0.117636085</v>
      </c>
      <c r="AX44">
        <v>9.9559179999999997E-2</v>
      </c>
      <c r="AY44">
        <v>-0.12180233</v>
      </c>
      <c r="AZ44">
        <v>0.18483756000000001</v>
      </c>
      <c r="BA44">
        <v>-2.6806747999999998E-2</v>
      </c>
      <c r="BB44">
        <v>-5.2819386000000003E-2</v>
      </c>
      <c r="BC44">
        <v>-0.28542063000000001</v>
      </c>
      <c r="BD44">
        <v>0.10722332399999999</v>
      </c>
      <c r="BE44">
        <v>-7.2295605999999998E-2</v>
      </c>
      <c r="BF44">
        <v>0.13359584999999999</v>
      </c>
      <c r="BG44">
        <v>9.9291794000000003E-2</v>
      </c>
      <c r="BH44">
        <v>-4.7048083999999997E-2</v>
      </c>
      <c r="BI44">
        <v>-0.10849418500000001</v>
      </c>
      <c r="BJ44">
        <v>9.6823560000000003E-2</v>
      </c>
      <c r="BK44">
        <v>0.15041634000000001</v>
      </c>
      <c r="BL44">
        <v>-7.2388460000000002E-3</v>
      </c>
      <c r="BM44">
        <v>7.6071634999999999E-2</v>
      </c>
      <c r="BN44">
        <v>8.5143449999999996E-2</v>
      </c>
      <c r="BO44">
        <v>-0.14922836</v>
      </c>
      <c r="BP44">
        <v>7.2886616000000001E-2</v>
      </c>
      <c r="BQ44">
        <v>3.5798993000000001E-2</v>
      </c>
      <c r="BR44">
        <v>-7.7624799999999994E-2</v>
      </c>
      <c r="BS44">
        <v>-8.2061469999999997E-2</v>
      </c>
      <c r="BT44">
        <v>-6.2869824000000005E-2</v>
      </c>
      <c r="BU44">
        <v>-0.29426540000000001</v>
      </c>
      <c r="BV44">
        <v>-0.13509943999999999</v>
      </c>
      <c r="BW44">
        <v>-2.798173E-2</v>
      </c>
      <c r="BX44">
        <v>-9.9853579999999997E-2</v>
      </c>
      <c r="BY44">
        <v>0.13239292999999999</v>
      </c>
      <c r="BZ44">
        <v>0.19202103000000001</v>
      </c>
      <c r="CA44">
        <v>0.14897779999999999</v>
      </c>
      <c r="CB44">
        <v>0.15773113</v>
      </c>
      <c r="CC44">
        <v>-0.2350063</v>
      </c>
      <c r="CD44">
        <v>0.15842433</v>
      </c>
      <c r="CE44">
        <v>0.12421596999999999</v>
      </c>
      <c r="CF44">
        <v>-3.8803786E-2</v>
      </c>
      <c r="CG44">
        <v>-0.33844565999999998</v>
      </c>
      <c r="CH44">
        <v>0.15071390000000001</v>
      </c>
      <c r="CI44">
        <v>0.13181509</v>
      </c>
      <c r="CJ44">
        <v>0.26893479999999997</v>
      </c>
      <c r="CK44">
        <v>-3.7492853E-2</v>
      </c>
      <c r="CL44">
        <v>2.2281830999999998E-2</v>
      </c>
      <c r="CM44">
        <v>-0.22800007</v>
      </c>
      <c r="CN44">
        <v>0.29177237</v>
      </c>
      <c r="CO44">
        <v>2.1629778999999998E-2</v>
      </c>
      <c r="CP44">
        <v>-9.9272579999999991E-4</v>
      </c>
      <c r="CQ44">
        <v>3.3760440000000003E-2</v>
      </c>
      <c r="CR44">
        <v>-0.24618031000000001</v>
      </c>
      <c r="CS44">
        <v>0.20458111000000001</v>
      </c>
      <c r="CT44">
        <v>-9.6226560000000003E-2</v>
      </c>
      <c r="CU44">
        <v>-0.12684703</v>
      </c>
      <c r="CV44">
        <v>-1.2347167000000001E-3</v>
      </c>
      <c r="CW44">
        <v>-0.19102006999999999</v>
      </c>
      <c r="CX44">
        <v>6.8065730000000005E-2</v>
      </c>
      <c r="CY44">
        <v>-8.2507300000000006E-2</v>
      </c>
      <c r="CZ44">
        <v>-0.22412029999999999</v>
      </c>
      <c r="DA44">
        <v>0.13292625999999999</v>
      </c>
      <c r="DB44">
        <v>0.10322455</v>
      </c>
      <c r="DC44">
        <v>6.7249894000000005E-2</v>
      </c>
      <c r="DD44">
        <v>-7.485957E-2</v>
      </c>
      <c r="DE44">
        <v>-4.6221506000000002E-2</v>
      </c>
      <c r="DF44">
        <v>0.36796653000000001</v>
      </c>
      <c r="DG44">
        <v>0.14140111</v>
      </c>
      <c r="DH44">
        <v>5.2772055999999998E-2</v>
      </c>
      <c r="DI44">
        <v>0.17780443000000001</v>
      </c>
      <c r="DJ44">
        <v>-0.18367542000000001</v>
      </c>
      <c r="DK44">
        <v>5.4380074E-2</v>
      </c>
      <c r="DL44">
        <v>-0.14890316000000001</v>
      </c>
      <c r="DM44">
        <v>-0.16105926000000001</v>
      </c>
      <c r="DN44">
        <v>-4.6947259999999998E-2</v>
      </c>
      <c r="DO44">
        <v>3.0335078000000001E-2</v>
      </c>
      <c r="DP44">
        <v>-0.14830457</v>
      </c>
      <c r="DQ44">
        <v>-0.27786016000000002</v>
      </c>
      <c r="DR44">
        <v>-0.15790772</v>
      </c>
      <c r="DS44">
        <v>-4.2796819999999999E-2</v>
      </c>
      <c r="DT44">
        <v>-1.7805459999999999E-2</v>
      </c>
      <c r="DU44">
        <v>1.1993053E-2</v>
      </c>
      <c r="DV44">
        <v>-0.13899002999999999</v>
      </c>
      <c r="DW44">
        <v>3.4421901999999997E-2</v>
      </c>
      <c r="DX44">
        <v>0.22367803999999999</v>
      </c>
      <c r="DY44">
        <v>4.5181527999999999E-2</v>
      </c>
      <c r="DZ44">
        <v>-0.38180730000000002</v>
      </c>
    </row>
    <row r="45" spans="1:130" x14ac:dyDescent="0.3">
      <c r="A45">
        <f>Board!$G$5</f>
        <v>0</v>
      </c>
      <c r="C45">
        <v>-3.9755270000000002E-2</v>
      </c>
      <c r="D45">
        <v>0.10785005</v>
      </c>
      <c r="E45">
        <v>6.3375089999999995E-2</v>
      </c>
      <c r="F45">
        <v>-0.19535400999999999</v>
      </c>
      <c r="G45">
        <v>0.17768133999999999</v>
      </c>
      <c r="H45">
        <v>0.11554905</v>
      </c>
      <c r="I45">
        <v>5.7497769999999997E-2</v>
      </c>
      <c r="J45">
        <v>0.27451354</v>
      </c>
      <c r="K45">
        <v>-2.2023595999999999E-2</v>
      </c>
      <c r="L45">
        <v>-4.6010660000000002E-2</v>
      </c>
      <c r="M45">
        <v>5.5063187999999999E-2</v>
      </c>
      <c r="N45">
        <v>-0.54561687000000003</v>
      </c>
      <c r="O45">
        <v>0.12440406</v>
      </c>
      <c r="P45">
        <v>-7.7961450000000002E-2</v>
      </c>
      <c r="Q45">
        <v>0.18499573999999999</v>
      </c>
      <c r="R45">
        <v>-0.30886564</v>
      </c>
      <c r="S45">
        <v>0.16904405</v>
      </c>
      <c r="T45">
        <v>0.2385678</v>
      </c>
      <c r="U45">
        <v>0.22562388</v>
      </c>
      <c r="V45">
        <v>-6.1859798000000001E-2</v>
      </c>
      <c r="W45">
        <v>0.37398579999999998</v>
      </c>
      <c r="X45">
        <v>0.12854259000000001</v>
      </c>
      <c r="Y45">
        <v>-0.32390943</v>
      </c>
      <c r="Z45">
        <v>8.0993319999999994E-2</v>
      </c>
      <c r="AA45">
        <v>0.19629964</v>
      </c>
      <c r="AB45">
        <v>0.131134</v>
      </c>
      <c r="AC45">
        <v>8.1923360000000001E-2</v>
      </c>
      <c r="AD45">
        <v>0.19224946000000001</v>
      </c>
      <c r="AE45">
        <v>0.29554385</v>
      </c>
      <c r="AF45">
        <v>0.19027269999999999</v>
      </c>
      <c r="AG45">
        <v>1.9796287999999999E-2</v>
      </c>
      <c r="AH45">
        <v>0.11801655599999999</v>
      </c>
      <c r="AI45">
        <v>-1.6827750999999998E-2</v>
      </c>
      <c r="AJ45">
        <v>-0.14379732000000001</v>
      </c>
      <c r="AK45">
        <v>-6.8794040000000001E-2</v>
      </c>
      <c r="AL45">
        <v>0.104704835</v>
      </c>
      <c r="AM45">
        <v>0.15495713</v>
      </c>
      <c r="AN45">
        <v>0.14957210000000001</v>
      </c>
      <c r="AO45">
        <v>9.0724020000000002E-2</v>
      </c>
      <c r="AP45">
        <v>-0.23275776000000001</v>
      </c>
      <c r="AQ45">
        <v>5.6752015000000003E-2</v>
      </c>
      <c r="AR45">
        <v>0.2192867</v>
      </c>
      <c r="AS45">
        <v>6.9306259999999995E-2</v>
      </c>
      <c r="AT45">
        <v>-0.55582184000000001</v>
      </c>
      <c r="AU45">
        <v>0.31388578</v>
      </c>
      <c r="AV45">
        <v>-0.28192115000000001</v>
      </c>
      <c r="AW45">
        <v>3.991434E-2</v>
      </c>
      <c r="AX45">
        <v>0.35674980000000001</v>
      </c>
      <c r="AY45">
        <v>-0.115361534</v>
      </c>
      <c r="AZ45">
        <v>-2.0521767E-2</v>
      </c>
      <c r="BA45">
        <v>-1.0270837E-2</v>
      </c>
      <c r="BB45">
        <v>2.4422455999999999E-2</v>
      </c>
      <c r="BC45">
        <v>-0.16514117</v>
      </c>
      <c r="BD45">
        <v>3.3847768E-2</v>
      </c>
      <c r="BE45">
        <v>-0.49795479999999998</v>
      </c>
      <c r="BF45">
        <v>1.9382037000000001E-2</v>
      </c>
      <c r="BG45">
        <v>-0.11107064</v>
      </c>
      <c r="BH45">
        <v>-0.117206804</v>
      </c>
      <c r="BI45">
        <v>-0.27651366999999999</v>
      </c>
      <c r="BJ45">
        <v>0.1163643</v>
      </c>
      <c r="BK45">
        <v>3.5053964999999999E-2</v>
      </c>
      <c r="BL45">
        <v>1.058159E-2</v>
      </c>
      <c r="BM45">
        <v>0.13888153</v>
      </c>
      <c r="BN45">
        <v>-0.2486988</v>
      </c>
      <c r="BO45">
        <v>-0.14750316999999999</v>
      </c>
      <c r="BP45">
        <v>7.0636950000000004E-2</v>
      </c>
      <c r="BQ45">
        <v>7.3326870000000002E-2</v>
      </c>
      <c r="BR45">
        <v>0.26777010000000001</v>
      </c>
      <c r="BS45">
        <v>0.23226136</v>
      </c>
      <c r="BT45">
        <v>-7.0608820000000003E-2</v>
      </c>
      <c r="BU45">
        <v>0.25893924000000001</v>
      </c>
      <c r="BV45">
        <v>4.4848166000000002E-2</v>
      </c>
      <c r="BW45">
        <v>-0.11186717</v>
      </c>
      <c r="BX45">
        <v>6.8798499999999999E-2</v>
      </c>
      <c r="BY45">
        <v>-0.10099418</v>
      </c>
      <c r="BZ45">
        <v>0.30493012000000003</v>
      </c>
      <c r="CA45">
        <v>0.11096953</v>
      </c>
      <c r="CB45">
        <v>8.6396605000000001E-2</v>
      </c>
      <c r="CC45">
        <v>-0.17128451</v>
      </c>
      <c r="CD45">
        <v>3.9603733000000002E-2</v>
      </c>
      <c r="CE45">
        <v>-0.40747030000000001</v>
      </c>
      <c r="CF45">
        <v>0.14403447999999999</v>
      </c>
      <c r="CG45">
        <v>-2.8828789E-2</v>
      </c>
      <c r="CH45">
        <v>-4.4234990000000002E-2</v>
      </c>
      <c r="CI45">
        <v>-1.7408832999999999E-2</v>
      </c>
      <c r="CJ45">
        <v>0.18927859999999999</v>
      </c>
      <c r="CK45">
        <v>4.5389122999999996E-3</v>
      </c>
      <c r="CL45">
        <v>9.1839900000000002E-2</v>
      </c>
      <c r="CM45">
        <v>-0.16728179000000001</v>
      </c>
      <c r="CN45">
        <v>0.25723766999999997</v>
      </c>
      <c r="CO45">
        <v>0.25866807000000003</v>
      </c>
      <c r="CP45">
        <v>0.21027923000000001</v>
      </c>
      <c r="CQ45">
        <v>-0.19532621</v>
      </c>
      <c r="CR45">
        <v>-0.23943943000000001</v>
      </c>
      <c r="CS45">
        <v>8.3389619999999998E-2</v>
      </c>
      <c r="CT45">
        <v>8.3408460000000004E-2</v>
      </c>
      <c r="CU45">
        <v>0.13962193000000001</v>
      </c>
      <c r="CV45">
        <v>0.20899376</v>
      </c>
      <c r="CW45">
        <v>-0.12154464</v>
      </c>
      <c r="CX45">
        <v>0.10003412</v>
      </c>
      <c r="CY45">
        <v>3.7864253E-2</v>
      </c>
      <c r="CZ45">
        <v>5.9806270000000002E-2</v>
      </c>
      <c r="DA45">
        <v>0.10147673</v>
      </c>
      <c r="DB45">
        <v>0.117608875</v>
      </c>
      <c r="DC45">
        <v>8.9128280000000004E-2</v>
      </c>
      <c r="DD45">
        <v>0.23249015000000001</v>
      </c>
      <c r="DE45">
        <v>-0.18691400999999999</v>
      </c>
      <c r="DF45">
        <v>-0.16933465</v>
      </c>
      <c r="DG45">
        <v>0.19012882</v>
      </c>
      <c r="DH45">
        <v>-0.14683224</v>
      </c>
      <c r="DI45">
        <v>8.5636329999999997E-2</v>
      </c>
      <c r="DJ45">
        <v>-1.467924E-2</v>
      </c>
      <c r="DK45">
        <v>5.7907994999999997E-2</v>
      </c>
      <c r="DL45">
        <v>-3.7819265999999997E-2</v>
      </c>
      <c r="DM45">
        <v>-5.148925E-2</v>
      </c>
      <c r="DN45">
        <v>-0.22320735</v>
      </c>
      <c r="DO45">
        <v>-8.9378070000000007E-3</v>
      </c>
      <c r="DP45">
        <v>-2.9357736999999998E-3</v>
      </c>
      <c r="DQ45">
        <v>7.9690849999999999E-4</v>
      </c>
      <c r="DR45">
        <v>-9.0462539999999994E-2</v>
      </c>
      <c r="DS45">
        <v>-5.7992811999999998E-2</v>
      </c>
      <c r="DT45">
        <v>-0.42397449999999998</v>
      </c>
      <c r="DU45">
        <v>-4.1123066E-2</v>
      </c>
      <c r="DV45">
        <v>2.1679884E-2</v>
      </c>
      <c r="DW45">
        <v>-0.15561048999999999</v>
      </c>
      <c r="DX45">
        <v>8.3901080000000003E-2</v>
      </c>
      <c r="DY45">
        <v>-8.2674979999999995E-2</v>
      </c>
      <c r="DZ45">
        <v>-0.40635037000000002</v>
      </c>
    </row>
    <row r="46" spans="1:130" x14ac:dyDescent="0.3">
      <c r="A46">
        <f>Board!$H$5</f>
        <v>1</v>
      </c>
      <c r="C46">
        <v>0.29463747000000001</v>
      </c>
      <c r="D46">
        <v>-5.7974506000000002E-2</v>
      </c>
      <c r="E46">
        <v>-0.52918434000000003</v>
      </c>
      <c r="F46">
        <v>-7.0594325999999999E-2</v>
      </c>
      <c r="G46">
        <v>8.9850139999999995E-2</v>
      </c>
      <c r="H46">
        <v>7.1485060000000003E-2</v>
      </c>
      <c r="I46">
        <v>0.19275934</v>
      </c>
      <c r="J46">
        <v>-6.4461640000000001E-2</v>
      </c>
      <c r="K46">
        <v>-1.8608117E-2</v>
      </c>
      <c r="L46">
        <v>-0.20385025000000001</v>
      </c>
      <c r="M46">
        <v>0.15192774000000001</v>
      </c>
      <c r="N46">
        <v>0.13149875</v>
      </c>
      <c r="O46">
        <v>9.0204469999999995E-2</v>
      </c>
      <c r="P46">
        <v>-6.5436640000000004E-2</v>
      </c>
      <c r="Q46">
        <v>3.9265982999999997E-2</v>
      </c>
      <c r="R46">
        <v>7.2140430000000005E-2</v>
      </c>
      <c r="S46">
        <v>0.13544378000000001</v>
      </c>
      <c r="T46">
        <v>-3.3036698000000003E-2</v>
      </c>
      <c r="U46">
        <v>-0.50007564000000004</v>
      </c>
      <c r="V46">
        <v>-0.25736502</v>
      </c>
      <c r="W46">
        <v>0.3325303</v>
      </c>
      <c r="X46">
        <v>4.6066098E-2</v>
      </c>
      <c r="Y46">
        <v>-7.3482679999999995E-2</v>
      </c>
      <c r="Z46">
        <v>2.4313174E-2</v>
      </c>
      <c r="AA46">
        <v>-0.12570079000000001</v>
      </c>
      <c r="AB46">
        <v>-8.2187264999999995E-2</v>
      </c>
      <c r="AC46">
        <v>4.6297427000000002E-2</v>
      </c>
      <c r="AD46">
        <v>0.21470794000000001</v>
      </c>
      <c r="AE46">
        <v>-1.9446445999999999E-2</v>
      </c>
      <c r="AF46">
        <v>0.18516777000000001</v>
      </c>
      <c r="AG46">
        <v>-0.15914159</v>
      </c>
      <c r="AH46">
        <v>-8.3046525999999996E-2</v>
      </c>
      <c r="AI46">
        <v>0.36229773999999998</v>
      </c>
      <c r="AJ46">
        <v>0.1401269</v>
      </c>
      <c r="AK46">
        <v>5.4801035999999997E-2</v>
      </c>
      <c r="AL46">
        <v>2.6921654E-2</v>
      </c>
      <c r="AM46">
        <v>-0.36129289999999997</v>
      </c>
      <c r="AN46">
        <v>0.2144596</v>
      </c>
      <c r="AO46">
        <v>0.25116519999999998</v>
      </c>
      <c r="AP46">
        <v>-0.70008239999999999</v>
      </c>
      <c r="AQ46">
        <v>0.18326656999999999</v>
      </c>
      <c r="AR46">
        <v>1.1661959E-2</v>
      </c>
      <c r="AS46">
        <v>0.17856859999999999</v>
      </c>
      <c r="AT46">
        <v>0.29798639999999998</v>
      </c>
      <c r="AU46">
        <v>8.0677369999999998E-2</v>
      </c>
      <c r="AV46">
        <v>-8.4468150000000006E-2</v>
      </c>
      <c r="AW46">
        <v>0.12865946</v>
      </c>
      <c r="AX46">
        <v>0.19986069000000001</v>
      </c>
      <c r="AY46">
        <v>5.1673410000000003E-2</v>
      </c>
      <c r="AZ46">
        <v>0.16858319999999999</v>
      </c>
      <c r="BA46">
        <v>-7.9328365999999997E-2</v>
      </c>
      <c r="BB46">
        <v>0.36110204000000001</v>
      </c>
      <c r="BC46">
        <v>0.16353038</v>
      </c>
      <c r="BD46">
        <v>-9.7446409999999997E-2</v>
      </c>
      <c r="BE46">
        <v>0.20205366999999999</v>
      </c>
      <c r="BF46">
        <v>7.2438740000000001E-2</v>
      </c>
      <c r="BG46">
        <v>-0.104131944</v>
      </c>
      <c r="BH46">
        <v>-8.7622690000000003E-2</v>
      </c>
      <c r="BI46">
        <v>-1.4454196000000001E-2</v>
      </c>
      <c r="BJ46">
        <v>0.20924335999999999</v>
      </c>
      <c r="BK46">
        <v>0.24215661999999999</v>
      </c>
      <c r="BL46">
        <v>-0.2531873</v>
      </c>
      <c r="BM46">
        <v>-0.11485153400000001</v>
      </c>
      <c r="BN46">
        <v>0.110100746</v>
      </c>
      <c r="BO46">
        <v>-5.9534456999999999E-2</v>
      </c>
      <c r="BP46">
        <v>0.10119847</v>
      </c>
      <c r="BQ46">
        <v>5.2402372999999997E-3</v>
      </c>
      <c r="BR46">
        <v>1.9834345E-2</v>
      </c>
      <c r="BS46">
        <v>-0.22187858999999999</v>
      </c>
      <c r="BT46">
        <v>-6.2028350000000003E-2</v>
      </c>
      <c r="BU46">
        <v>0.14086439000000001</v>
      </c>
      <c r="BV46">
        <v>0.26029232000000002</v>
      </c>
      <c r="BW46">
        <v>0.28144829999999998</v>
      </c>
      <c r="BX46">
        <v>-1.943955E-2</v>
      </c>
      <c r="BY46">
        <v>-0.14874841</v>
      </c>
      <c r="BZ46">
        <v>3.1105684000000001E-2</v>
      </c>
      <c r="CA46">
        <v>-0.17830412000000001</v>
      </c>
      <c r="CB46">
        <v>-4.1541349999999998E-3</v>
      </c>
      <c r="CC46">
        <v>4.1144310000000003E-2</v>
      </c>
      <c r="CD46">
        <v>-0.22782205</v>
      </c>
      <c r="CE46">
        <v>-7.6617249999999998E-2</v>
      </c>
      <c r="CF46">
        <v>-6.6494499999999998E-2</v>
      </c>
      <c r="CG46">
        <v>6.0391479999999997E-2</v>
      </c>
      <c r="CH46">
        <v>-0.59317989999999998</v>
      </c>
      <c r="CI46">
        <v>-1.1950343E-2</v>
      </c>
      <c r="CJ46">
        <v>7.3894224999999994E-2</v>
      </c>
      <c r="CK46">
        <v>1.7289722E-2</v>
      </c>
      <c r="CL46">
        <v>0.14616655000000001</v>
      </c>
      <c r="CM46">
        <v>-9.4942579999999999E-2</v>
      </c>
      <c r="CN46">
        <v>0.27998193999999998</v>
      </c>
      <c r="CO46">
        <v>-0.57756174000000005</v>
      </c>
      <c r="CP46">
        <v>2.6979605E-2</v>
      </c>
      <c r="CQ46">
        <v>7.4966459999999999E-2</v>
      </c>
      <c r="CR46">
        <v>0.17878711</v>
      </c>
      <c r="CS46">
        <v>0.17986688000000001</v>
      </c>
      <c r="CT46">
        <v>1.6266381E-2</v>
      </c>
      <c r="CU46">
        <v>-2.2572398E-2</v>
      </c>
      <c r="CV46">
        <v>0.64711300000000005</v>
      </c>
      <c r="CW46">
        <v>-4.8362522999999998E-2</v>
      </c>
      <c r="CX46">
        <v>0.24990772</v>
      </c>
      <c r="CY46">
        <v>-8.8905379999999995E-4</v>
      </c>
      <c r="CZ46">
        <v>0.21009374</v>
      </c>
      <c r="DA46">
        <v>5.6312743999999998E-2</v>
      </c>
      <c r="DB46">
        <v>1.4613924999999999E-3</v>
      </c>
      <c r="DC46">
        <v>3.0327226999999998E-2</v>
      </c>
      <c r="DD46">
        <v>0.11280092999999999</v>
      </c>
      <c r="DE46">
        <v>-0.18988816</v>
      </c>
      <c r="DF46">
        <v>-0.35455826000000001</v>
      </c>
      <c r="DG46">
        <v>1.5955339999999998E-2</v>
      </c>
      <c r="DH46">
        <v>1.0114388E-2</v>
      </c>
      <c r="DI46">
        <v>0.17419612000000001</v>
      </c>
      <c r="DJ46">
        <v>-0.10103236</v>
      </c>
      <c r="DK46">
        <v>-3.0670757999999999E-2</v>
      </c>
      <c r="DL46">
        <v>0.11783506000000001</v>
      </c>
      <c r="DM46">
        <v>7.2162285000000007E-2</v>
      </c>
      <c r="DN46">
        <v>0.32077850000000002</v>
      </c>
      <c r="DO46">
        <v>-5.4602906E-2</v>
      </c>
      <c r="DP46">
        <v>3.3364119999999997E-2</v>
      </c>
      <c r="DQ46">
        <v>0.15979646</v>
      </c>
      <c r="DR46">
        <v>-0.11324294</v>
      </c>
      <c r="DS46">
        <v>-0.44385412000000002</v>
      </c>
      <c r="DT46">
        <v>4.9419810000000002E-2</v>
      </c>
      <c r="DU46">
        <v>2.4811491000000001E-2</v>
      </c>
      <c r="DV46">
        <v>0.31227937</v>
      </c>
      <c r="DW46">
        <v>-0.3552265</v>
      </c>
      <c r="DX46">
        <v>0.15274571000000001</v>
      </c>
      <c r="DY46">
        <v>-0.31158644000000002</v>
      </c>
      <c r="DZ46">
        <v>0.14581773000000001</v>
      </c>
    </row>
    <row r="47" spans="1:130" x14ac:dyDescent="0.3">
      <c r="A47">
        <f>Board!$I$5</f>
        <v>0</v>
      </c>
      <c r="C47">
        <v>-0.21738347</v>
      </c>
      <c r="D47">
        <v>-0.100074075</v>
      </c>
      <c r="E47">
        <v>-0.27876824</v>
      </c>
      <c r="F47">
        <v>-1.9643964E-2</v>
      </c>
      <c r="G47">
        <v>-1.2321277E-3</v>
      </c>
      <c r="H47">
        <v>0.1670635</v>
      </c>
      <c r="I47">
        <v>5.5835522999999998E-2</v>
      </c>
      <c r="J47">
        <v>-0.10789793</v>
      </c>
      <c r="K47">
        <v>3.6722301999999998E-2</v>
      </c>
      <c r="L47">
        <v>-8.968218E-2</v>
      </c>
      <c r="M47">
        <v>9.8005549999999997E-2</v>
      </c>
      <c r="N47">
        <v>0.17734663000000001</v>
      </c>
      <c r="O47">
        <v>0.11305614999999999</v>
      </c>
      <c r="P47">
        <v>1.5724894E-2</v>
      </c>
      <c r="Q47">
        <v>-4.3753612999999997E-2</v>
      </c>
      <c r="R47">
        <v>0.23388194000000001</v>
      </c>
      <c r="S47">
        <v>7.4150129999999995E-2</v>
      </c>
      <c r="T47">
        <v>-0.11446495</v>
      </c>
      <c r="U47">
        <v>-0.48966001999999997</v>
      </c>
      <c r="V47">
        <v>-6.5342259999999997E-3</v>
      </c>
      <c r="W47">
        <v>0.29224923000000003</v>
      </c>
      <c r="X47">
        <v>5.1739489999999999E-2</v>
      </c>
      <c r="Y47">
        <v>0.20383269000000001</v>
      </c>
      <c r="Z47">
        <v>0.30005001999999997</v>
      </c>
      <c r="AA47">
        <v>7.7950149999999996E-2</v>
      </c>
      <c r="AB47">
        <v>1.5672703999999999E-2</v>
      </c>
      <c r="AC47">
        <v>-0.10536397</v>
      </c>
      <c r="AD47">
        <v>0.17010684000000001</v>
      </c>
      <c r="AE47">
        <v>-8.7221569999999998E-2</v>
      </c>
      <c r="AF47">
        <v>8.6914550000000007E-3</v>
      </c>
      <c r="AG47">
        <v>-5.1440476999999998E-2</v>
      </c>
      <c r="AH47">
        <v>-0.21573544</v>
      </c>
      <c r="AI47">
        <v>0.25626325999999999</v>
      </c>
      <c r="AJ47">
        <v>0.10650495</v>
      </c>
      <c r="AK47">
        <v>0.15877624000000001</v>
      </c>
      <c r="AL47">
        <v>7.6824589999999998E-2</v>
      </c>
      <c r="AM47">
        <v>-0.15322337</v>
      </c>
      <c r="AN47">
        <v>0.23647352999999999</v>
      </c>
      <c r="AO47">
        <v>0.12625036000000001</v>
      </c>
      <c r="AP47">
        <v>-0.75313240000000004</v>
      </c>
      <c r="AQ47">
        <v>0.19761063000000001</v>
      </c>
      <c r="AR47">
        <v>-0.18070447000000001</v>
      </c>
      <c r="AS47">
        <v>-0.33883574999999999</v>
      </c>
      <c r="AT47">
        <v>0.35146356000000001</v>
      </c>
      <c r="AU47">
        <v>1.2794846E-2</v>
      </c>
      <c r="AV47">
        <v>0.10707804999999999</v>
      </c>
      <c r="AW47">
        <v>0.14488793999999999</v>
      </c>
      <c r="AX47">
        <v>3.2941076999999999E-2</v>
      </c>
      <c r="AY47">
        <v>0.10424532</v>
      </c>
      <c r="AZ47">
        <v>0.17576957000000001</v>
      </c>
      <c r="BA47">
        <v>0.19124848999999999</v>
      </c>
      <c r="BB47">
        <v>0.48703121999999999</v>
      </c>
      <c r="BC47">
        <v>-5.9740037000000003E-2</v>
      </c>
      <c r="BD47">
        <v>1.2503988000000001E-2</v>
      </c>
      <c r="BE47">
        <v>0.29770522999999999</v>
      </c>
      <c r="BF47">
        <v>-5.3313190000000003E-2</v>
      </c>
      <c r="BG47">
        <v>6.5206116999999997E-3</v>
      </c>
      <c r="BH47">
        <v>-0.101786815</v>
      </c>
      <c r="BI47">
        <v>0.18223043</v>
      </c>
      <c r="BJ47">
        <v>0.17801352000000001</v>
      </c>
      <c r="BK47">
        <v>8.6561029999999997E-2</v>
      </c>
      <c r="BL47">
        <v>-0.10003307</v>
      </c>
      <c r="BM47">
        <v>-0.14200563999999999</v>
      </c>
      <c r="BN47">
        <v>0.27175549999999998</v>
      </c>
      <c r="BO47">
        <v>-4.0081814E-2</v>
      </c>
      <c r="BP47">
        <v>0.11943888</v>
      </c>
      <c r="BQ47">
        <v>-8.9045470000000002E-2</v>
      </c>
      <c r="BR47">
        <v>-9.2531100000000005E-2</v>
      </c>
      <c r="BS47">
        <v>-6.8374690000000002E-2</v>
      </c>
      <c r="BT47">
        <v>-8.5217970000000004E-2</v>
      </c>
      <c r="BU47">
        <v>-0.2480675</v>
      </c>
      <c r="BV47">
        <v>-0.12747965999999999</v>
      </c>
      <c r="BW47">
        <v>0.23186255</v>
      </c>
      <c r="BX47">
        <v>-3.4996763E-2</v>
      </c>
      <c r="BY47">
        <v>-2.1162745E-2</v>
      </c>
      <c r="BZ47">
        <v>2.4431538999999999E-3</v>
      </c>
      <c r="CA47">
        <v>0.12837051999999999</v>
      </c>
      <c r="CB47">
        <v>1.6461454E-2</v>
      </c>
      <c r="CC47">
        <v>-2.0979096999999999E-2</v>
      </c>
      <c r="CD47">
        <v>-0.20826246000000001</v>
      </c>
      <c r="CE47">
        <v>0.11588824</v>
      </c>
      <c r="CF47">
        <v>-8.0969890000000003E-2</v>
      </c>
      <c r="CG47">
        <v>-0.22274916</v>
      </c>
      <c r="CH47">
        <v>-6.4456050000000001E-2</v>
      </c>
      <c r="CI47">
        <v>-0.21766677000000001</v>
      </c>
      <c r="CJ47">
        <v>-9.5690579999999997E-2</v>
      </c>
      <c r="CK47">
        <v>0.26013642999999997</v>
      </c>
      <c r="CL47">
        <v>6.6470150000000006E-2</v>
      </c>
      <c r="CM47">
        <v>6.822868E-2</v>
      </c>
      <c r="CN47">
        <v>0.14267609000000001</v>
      </c>
      <c r="CO47">
        <v>-1.8275712E-2</v>
      </c>
      <c r="CP47">
        <v>-0.38186404000000002</v>
      </c>
      <c r="CQ47">
        <v>4.5731745999999997E-2</v>
      </c>
      <c r="CR47">
        <v>3.0737304999999999E-2</v>
      </c>
      <c r="CS47">
        <v>-4.2291532999999999E-2</v>
      </c>
      <c r="CT47">
        <v>-7.2143650000000004E-2</v>
      </c>
      <c r="CU47">
        <v>6.7231940000000004E-2</v>
      </c>
      <c r="CV47">
        <v>0.66421026000000005</v>
      </c>
      <c r="CW47">
        <v>6.256333E-2</v>
      </c>
      <c r="CX47">
        <v>0.27545583000000001</v>
      </c>
      <c r="CY47">
        <v>0.11277966</v>
      </c>
      <c r="CZ47">
        <v>-5.9807341999999998E-3</v>
      </c>
      <c r="DA47">
        <v>0.13780981</v>
      </c>
      <c r="DB47">
        <v>3.1416713999999998E-2</v>
      </c>
      <c r="DC47">
        <v>-0.4096514</v>
      </c>
      <c r="DD47">
        <v>7.1018144000000005E-2</v>
      </c>
      <c r="DE47">
        <v>0.10896075500000001</v>
      </c>
      <c r="DF47">
        <v>0.17752144</v>
      </c>
      <c r="DG47">
        <v>-3.4356654E-2</v>
      </c>
      <c r="DH47">
        <v>-9.4568490000000005E-2</v>
      </c>
      <c r="DI47">
        <v>-6.6383919999999999E-2</v>
      </c>
      <c r="DJ47">
        <v>7.2738949999999998E-3</v>
      </c>
      <c r="DK47">
        <v>0.15366426</v>
      </c>
      <c r="DL47">
        <v>7.0750820000000006E-2</v>
      </c>
      <c r="DM47">
        <v>-9.9997080000000002E-2</v>
      </c>
      <c r="DN47">
        <v>-2.2997607E-2</v>
      </c>
      <c r="DO47">
        <v>-8.4143244000000006E-2</v>
      </c>
      <c r="DP47">
        <v>-0.123828225</v>
      </c>
      <c r="DQ47">
        <v>1.8272239999999999E-2</v>
      </c>
      <c r="DR47">
        <v>6.6800680000000001E-2</v>
      </c>
      <c r="DS47">
        <v>0.34507975000000002</v>
      </c>
      <c r="DT47">
        <v>3.6686179999999999E-2</v>
      </c>
      <c r="DU47">
        <v>0.13218236999999999</v>
      </c>
      <c r="DV47">
        <v>0.24869809000000001</v>
      </c>
      <c r="DW47">
        <v>-3.5667789999999998E-2</v>
      </c>
      <c r="DX47">
        <v>0.16673034</v>
      </c>
      <c r="DY47">
        <v>-0.10908292</v>
      </c>
      <c r="DZ47">
        <v>0.18234079</v>
      </c>
    </row>
    <row r="48" spans="1:130" x14ac:dyDescent="0.3">
      <c r="A48">
        <f>Board!$J$5</f>
        <v>0</v>
      </c>
      <c r="C48">
        <v>-0.13376046999999999</v>
      </c>
      <c r="D48">
        <v>-0.12099733</v>
      </c>
      <c r="E48">
        <v>9.9448930000000005E-2</v>
      </c>
      <c r="F48">
        <v>8.2358319999999999E-2</v>
      </c>
      <c r="G48">
        <v>4.5787192999999997E-2</v>
      </c>
      <c r="H48">
        <v>9.3667805000000007E-2</v>
      </c>
      <c r="I48">
        <v>-1.7131614E-2</v>
      </c>
      <c r="J48">
        <v>-6.4882969999999998E-2</v>
      </c>
      <c r="K48">
        <v>0.10862238</v>
      </c>
      <c r="L48">
        <v>0.19944252000000001</v>
      </c>
      <c r="M48">
        <v>0.15141389999999999</v>
      </c>
      <c r="N48">
        <v>9.3852789999999998E-3</v>
      </c>
      <c r="O48">
        <v>0.10868507600000001</v>
      </c>
      <c r="P48">
        <v>7.9946290000000003E-2</v>
      </c>
      <c r="Q48">
        <v>0.12041317999999999</v>
      </c>
      <c r="R48">
        <v>0.23590723</v>
      </c>
      <c r="S48">
        <v>9.7939979999999996E-2</v>
      </c>
      <c r="T48">
        <v>-0.13041159999999999</v>
      </c>
      <c r="U48">
        <v>-0.61331749999999996</v>
      </c>
      <c r="V48">
        <v>-8.5436076E-2</v>
      </c>
      <c r="W48">
        <v>8.4557080000000007E-2</v>
      </c>
      <c r="X48">
        <v>0.12614255999999999</v>
      </c>
      <c r="Y48">
        <v>-2.0140267999999999E-2</v>
      </c>
      <c r="Z48">
        <v>0.2080197</v>
      </c>
      <c r="AA48">
        <v>7.5294490000000006E-2</v>
      </c>
      <c r="AB48">
        <v>6.206097E-2</v>
      </c>
      <c r="AC48">
        <v>-0.13908175</v>
      </c>
      <c r="AD48">
        <v>0.1318085</v>
      </c>
      <c r="AE48">
        <v>0.14328640000000001</v>
      </c>
      <c r="AF48">
        <v>-6.8465464000000004E-2</v>
      </c>
      <c r="AG48">
        <v>3.8251523000000003E-2</v>
      </c>
      <c r="AH48">
        <v>-8.2344500000000001E-2</v>
      </c>
      <c r="AI48">
        <v>-1.6759475999999999E-2</v>
      </c>
      <c r="AJ48">
        <v>4.8650253999999997E-2</v>
      </c>
      <c r="AK48">
        <v>-6.7527069999999995E-2</v>
      </c>
      <c r="AL48">
        <v>-6.2147510000000001E-3</v>
      </c>
      <c r="AM48">
        <v>4.5278667999999999E-4</v>
      </c>
      <c r="AN48">
        <v>0.21383769999999999</v>
      </c>
      <c r="AO48">
        <v>-5.24962E-2</v>
      </c>
      <c r="AP48">
        <v>-0.53219640000000001</v>
      </c>
      <c r="AQ48">
        <v>0.30334094</v>
      </c>
      <c r="AR48">
        <v>8.7290740000000006E-2</v>
      </c>
      <c r="AS48">
        <v>-0.18817434</v>
      </c>
      <c r="AT48">
        <v>2.1948717999999999E-2</v>
      </c>
      <c r="AU48">
        <v>7.852808E-2</v>
      </c>
      <c r="AV48">
        <v>0.11202875</v>
      </c>
      <c r="AW48">
        <v>-1.9464746000000002E-2</v>
      </c>
      <c r="AX48">
        <v>6.7322730000000004E-3</v>
      </c>
      <c r="AY48">
        <v>7.5436169999999997E-2</v>
      </c>
      <c r="AZ48">
        <v>-2.8610725E-2</v>
      </c>
      <c r="BA48">
        <v>0.11594061</v>
      </c>
      <c r="BB48">
        <v>0.43358505000000003</v>
      </c>
      <c r="BC48">
        <v>8.551454E-2</v>
      </c>
      <c r="BD48">
        <v>0.11632592999999999</v>
      </c>
      <c r="BE48">
        <v>0.301147</v>
      </c>
      <c r="BF48">
        <v>1.5540711999999999E-4</v>
      </c>
      <c r="BG48">
        <v>-1.8577598000000001E-2</v>
      </c>
      <c r="BH48">
        <v>-6.5961530000000004E-2</v>
      </c>
      <c r="BI48">
        <v>0.29766165999999999</v>
      </c>
      <c r="BJ48">
        <v>-3.8380347000000002E-2</v>
      </c>
      <c r="BK48">
        <v>0.12839175999999999</v>
      </c>
      <c r="BL48">
        <v>-0.11433846</v>
      </c>
      <c r="BM48">
        <v>0.17112516</v>
      </c>
      <c r="BN48">
        <v>-0.15051268000000001</v>
      </c>
      <c r="BO48">
        <v>-0.24509948000000001</v>
      </c>
      <c r="BP48">
        <v>5.7721987000000002E-2</v>
      </c>
      <c r="BQ48">
        <v>6.9531806000000002E-2</v>
      </c>
      <c r="BR48">
        <v>2.0046498999999999E-2</v>
      </c>
      <c r="BS48">
        <v>-0.15835518000000001</v>
      </c>
      <c r="BT48">
        <v>-2.9235034999999999E-2</v>
      </c>
      <c r="BU48">
        <v>-5.7849409999999997E-2</v>
      </c>
      <c r="BV48">
        <v>-0.48875754999999999</v>
      </c>
      <c r="BW48">
        <v>-0.22560214000000001</v>
      </c>
      <c r="BX48">
        <v>-0.12875521000000001</v>
      </c>
      <c r="BY48">
        <v>-2.8449846000000001E-2</v>
      </c>
      <c r="BZ48">
        <v>-0.17252906000000001</v>
      </c>
      <c r="CA48">
        <v>0.19475861</v>
      </c>
      <c r="CB48">
        <v>-0.26987305</v>
      </c>
      <c r="CC48">
        <v>-0.15953417</v>
      </c>
      <c r="CD48">
        <v>-0.29293153</v>
      </c>
      <c r="CE48">
        <v>9.6901565999999995E-2</v>
      </c>
      <c r="CF48">
        <v>1.3072858E-2</v>
      </c>
      <c r="CG48">
        <v>0.18025930000000001</v>
      </c>
      <c r="CH48">
        <v>0.11960116</v>
      </c>
      <c r="CI48">
        <v>-0.17319961</v>
      </c>
      <c r="CJ48">
        <v>1.8736704999999999E-2</v>
      </c>
      <c r="CK48">
        <v>6.5823264000000006E-2</v>
      </c>
      <c r="CL48">
        <v>-0.11286862</v>
      </c>
      <c r="CM48">
        <v>-1.5434171999999999E-2</v>
      </c>
      <c r="CN48">
        <v>0.11596556</v>
      </c>
      <c r="CO48">
        <v>0.22005461000000001</v>
      </c>
      <c r="CP48">
        <v>-0.33344600000000002</v>
      </c>
      <c r="CQ48">
        <v>0.24172622999999999</v>
      </c>
      <c r="CR48">
        <v>0.15779881000000001</v>
      </c>
      <c r="CS48">
        <v>-1.6871462E-2</v>
      </c>
      <c r="CT48">
        <v>-9.4245486000000003E-2</v>
      </c>
      <c r="CU48">
        <v>0.11270500999999999</v>
      </c>
      <c r="CV48">
        <v>0.55687209999999998</v>
      </c>
      <c r="CW48">
        <v>5.0847879999999998E-2</v>
      </c>
      <c r="CX48">
        <v>-0.107389756</v>
      </c>
      <c r="CY48">
        <v>0.19902147000000001</v>
      </c>
      <c r="CZ48">
        <v>7.587286E-2</v>
      </c>
      <c r="DA48">
        <v>2.3560681999999999E-2</v>
      </c>
      <c r="DB48">
        <v>7.1380669999999993E-2</v>
      </c>
      <c r="DC48">
        <v>-0.27363092</v>
      </c>
      <c r="DD48">
        <v>-9.6471580000000001E-2</v>
      </c>
      <c r="DE48">
        <v>8.6060040000000004E-2</v>
      </c>
      <c r="DF48">
        <v>0.22663908999999999</v>
      </c>
      <c r="DG48">
        <v>-0.11813059400000001</v>
      </c>
      <c r="DH48">
        <v>8.3269580000000006E-3</v>
      </c>
      <c r="DI48">
        <v>-0.24986096999999999</v>
      </c>
      <c r="DJ48">
        <v>-9.9401809999999993E-3</v>
      </c>
      <c r="DK48">
        <v>5.9696775000000001E-2</v>
      </c>
      <c r="DL48">
        <v>-0.13079508000000001</v>
      </c>
      <c r="DM48">
        <v>-0.20693886</v>
      </c>
      <c r="DN48">
        <v>0.10217007</v>
      </c>
      <c r="DO48">
        <v>0.15403184</v>
      </c>
      <c r="DP48">
        <v>5.1973499999999999E-2</v>
      </c>
      <c r="DQ48">
        <v>0.17097598</v>
      </c>
      <c r="DR48">
        <v>0.16743230000000001</v>
      </c>
      <c r="DS48">
        <v>0.48645028000000001</v>
      </c>
      <c r="DT48">
        <v>-5.1439132999999998E-2</v>
      </c>
      <c r="DU48">
        <v>4.1860934000000002E-2</v>
      </c>
      <c r="DV48">
        <v>0.15811396</v>
      </c>
      <c r="DW48">
        <v>-5.0843912999999998E-2</v>
      </c>
      <c r="DX48">
        <v>3.7707804999999998E-3</v>
      </c>
      <c r="DY48">
        <v>-6.8602430000000006E-2</v>
      </c>
      <c r="DZ48">
        <v>-0.12779795999999999</v>
      </c>
    </row>
    <row r="49" spans="1:130" x14ac:dyDescent="0.3">
      <c r="A49">
        <f>Board!$K$5</f>
        <v>0</v>
      </c>
      <c r="C49">
        <v>-0.16892903000000001</v>
      </c>
      <c r="D49">
        <v>3.6393195000000003E-2</v>
      </c>
      <c r="E49">
        <v>0.18607688</v>
      </c>
      <c r="F49">
        <v>0.22424416</v>
      </c>
      <c r="G49">
        <v>-4.7983576E-2</v>
      </c>
      <c r="H49">
        <v>6.898725E-2</v>
      </c>
      <c r="I49">
        <v>0.12054767</v>
      </c>
      <c r="J49">
        <v>-2.9740674000000002E-2</v>
      </c>
      <c r="K49">
        <v>0.13200152000000001</v>
      </c>
      <c r="L49">
        <v>9.3497819999999995E-2</v>
      </c>
      <c r="M49">
        <v>6.3478290000000007E-2</v>
      </c>
      <c r="N49">
        <v>0.10729305</v>
      </c>
      <c r="O49">
        <v>4.0422897999999999E-2</v>
      </c>
      <c r="P49">
        <v>-5.0823334999999997E-2</v>
      </c>
      <c r="Q49">
        <v>8.9216165E-2</v>
      </c>
      <c r="R49">
        <v>3.4604200000000002E-2</v>
      </c>
      <c r="S49">
        <v>0.11994161</v>
      </c>
      <c r="T49">
        <v>0.13215700999999999</v>
      </c>
      <c r="U49">
        <v>-0.62373584999999998</v>
      </c>
      <c r="V49">
        <v>-0.14245836000000001</v>
      </c>
      <c r="W49">
        <v>6.8298949999999997E-2</v>
      </c>
      <c r="X49">
        <v>0.11850536</v>
      </c>
      <c r="Y49">
        <v>-0.13998385999999999</v>
      </c>
      <c r="Z49">
        <v>0.14989313000000001</v>
      </c>
      <c r="AA49">
        <v>-3.8662887999999999E-2</v>
      </c>
      <c r="AB49">
        <v>8.2661404999999993E-2</v>
      </c>
      <c r="AC49">
        <v>-0.14517388000000001</v>
      </c>
      <c r="AD49">
        <v>-2.2539547E-2</v>
      </c>
      <c r="AE49">
        <v>0.14575527999999999</v>
      </c>
      <c r="AF49">
        <v>-0.29782993000000002</v>
      </c>
      <c r="AG49">
        <v>6.3403929999999997E-2</v>
      </c>
      <c r="AH49">
        <v>-0.28409015999999998</v>
      </c>
      <c r="AI49">
        <v>-7.8070539999999994E-2</v>
      </c>
      <c r="AJ49">
        <v>-7.0427249999999997E-3</v>
      </c>
      <c r="AK49">
        <v>0.14317759999999999</v>
      </c>
      <c r="AL49">
        <v>-1.6333273000000001E-4</v>
      </c>
      <c r="AM49">
        <v>-0.35487485000000002</v>
      </c>
      <c r="AN49">
        <v>0.2935875</v>
      </c>
      <c r="AO49">
        <v>0.16347160999999999</v>
      </c>
      <c r="AP49">
        <v>-0.38692286999999997</v>
      </c>
      <c r="AQ49">
        <v>0.19846901</v>
      </c>
      <c r="AR49">
        <v>4.4544673999999999E-2</v>
      </c>
      <c r="AS49">
        <v>-9.9674600000000002E-2</v>
      </c>
      <c r="AT49">
        <v>0.18417929</v>
      </c>
      <c r="AU49">
        <v>-6.0148526000000001E-2</v>
      </c>
      <c r="AV49">
        <v>0.121735625</v>
      </c>
      <c r="AW49">
        <v>0.24103373</v>
      </c>
      <c r="AX49">
        <v>9.2804275000000006E-2</v>
      </c>
      <c r="AY49">
        <v>-6.7001400000000003E-2</v>
      </c>
      <c r="AZ49">
        <v>0.11117079000000001</v>
      </c>
      <c r="BA49">
        <v>-0.16100359</v>
      </c>
      <c r="BB49">
        <v>0.30391443000000001</v>
      </c>
      <c r="BC49">
        <v>6.9769344999999997E-2</v>
      </c>
      <c r="BD49">
        <v>-9.8261639999999997E-2</v>
      </c>
      <c r="BE49">
        <v>-0.30612314000000002</v>
      </c>
      <c r="BF49">
        <v>3.6939457000000002E-2</v>
      </c>
      <c r="BG49">
        <v>9.1918710000000008E-3</v>
      </c>
      <c r="BH49">
        <v>7.7099070000000002E-3</v>
      </c>
      <c r="BI49">
        <v>3.6444450000000003E-2</v>
      </c>
      <c r="BJ49">
        <v>-0.46700839999999999</v>
      </c>
      <c r="BK49">
        <v>-1.5569776E-2</v>
      </c>
      <c r="BL49">
        <v>8.7002789999999997E-2</v>
      </c>
      <c r="BM49">
        <v>0.11919701000000001</v>
      </c>
      <c r="BN49">
        <v>7.4948409999999993E-2</v>
      </c>
      <c r="BO49">
        <v>-0.15753226000000001</v>
      </c>
      <c r="BP49">
        <v>9.5236020000000005E-2</v>
      </c>
      <c r="BQ49">
        <v>0.10402649999999999</v>
      </c>
      <c r="BR49">
        <v>7.7043770000000001E-3</v>
      </c>
      <c r="BS49">
        <v>-0.113002636</v>
      </c>
      <c r="BT49">
        <v>5.8368469999999999E-2</v>
      </c>
      <c r="BU49">
        <v>0.13634734000000001</v>
      </c>
      <c r="BV49">
        <v>-7.9398280000000002E-2</v>
      </c>
      <c r="BW49">
        <v>-0.39021143000000003</v>
      </c>
      <c r="BX49">
        <v>0.17438611000000001</v>
      </c>
      <c r="BY49">
        <v>0.24235973</v>
      </c>
      <c r="BZ49">
        <v>-0.29776317000000002</v>
      </c>
      <c r="CA49">
        <v>0.21106443</v>
      </c>
      <c r="CB49">
        <v>2.0510143000000002E-2</v>
      </c>
      <c r="CC49">
        <v>-7.0877380000000004E-2</v>
      </c>
      <c r="CD49">
        <v>-0.35153951999999999</v>
      </c>
      <c r="CE49">
        <v>4.0976033000000002E-2</v>
      </c>
      <c r="CF49">
        <v>-8.1944219999999998E-2</v>
      </c>
      <c r="CG49">
        <v>0.15566236</v>
      </c>
      <c r="CH49">
        <v>0.14872173999999999</v>
      </c>
      <c r="CI49">
        <v>-7.2473090000000004E-2</v>
      </c>
      <c r="CJ49">
        <v>5.9780925999999998E-2</v>
      </c>
      <c r="CK49">
        <v>0.10135793</v>
      </c>
      <c r="CL49">
        <v>-0.12129100399999999</v>
      </c>
      <c r="CM49">
        <v>-6.6368499999999997E-2</v>
      </c>
      <c r="CN49">
        <v>-2.8364562999999999E-2</v>
      </c>
      <c r="CO49">
        <v>0.16604114</v>
      </c>
      <c r="CP49">
        <v>-0.117731325</v>
      </c>
      <c r="CQ49">
        <v>0.22783165</v>
      </c>
      <c r="CR49">
        <v>0.23120946000000001</v>
      </c>
      <c r="CS49">
        <v>8.3314540000000006E-2</v>
      </c>
      <c r="CT49">
        <v>-4.6892469999999999E-2</v>
      </c>
      <c r="CU49">
        <v>0.12161924</v>
      </c>
      <c r="CV49">
        <v>0.35025339999999999</v>
      </c>
      <c r="CW49">
        <v>0.20023187000000001</v>
      </c>
      <c r="CX49">
        <v>3.4792669999999998E-2</v>
      </c>
      <c r="CY49">
        <v>0.13274209000000001</v>
      </c>
      <c r="CZ49">
        <v>1.0688199000000001E-2</v>
      </c>
      <c r="DA49">
        <v>-0.14548433</v>
      </c>
      <c r="DB49">
        <v>7.3351680000000002E-2</v>
      </c>
      <c r="DC49">
        <v>-0.36541346000000002</v>
      </c>
      <c r="DD49">
        <v>-0.15875274</v>
      </c>
      <c r="DE49">
        <v>0.14597568</v>
      </c>
      <c r="DF49">
        <v>-8.9871649999999997E-2</v>
      </c>
      <c r="DG49">
        <v>-0.36716247000000002</v>
      </c>
      <c r="DH49">
        <v>-7.1882189999999999E-2</v>
      </c>
      <c r="DI49">
        <v>-0.29074763999999997</v>
      </c>
      <c r="DJ49">
        <v>-0.10112762</v>
      </c>
      <c r="DK49">
        <v>-1.8055148E-2</v>
      </c>
      <c r="DL49">
        <v>-3.7867314999999999E-2</v>
      </c>
      <c r="DM49">
        <v>-0.12799028000000001</v>
      </c>
      <c r="DN49">
        <v>-2.6908733E-3</v>
      </c>
      <c r="DO49">
        <v>0.19687763</v>
      </c>
      <c r="DP49">
        <v>8.5278279999999998E-2</v>
      </c>
      <c r="DQ49">
        <v>0.22150275</v>
      </c>
      <c r="DR49">
        <v>-2.2669688E-2</v>
      </c>
      <c r="DS49">
        <v>0.13479923999999999</v>
      </c>
      <c r="DT49">
        <v>-2.0388544000000001E-2</v>
      </c>
      <c r="DU49">
        <v>5.5124313000000001E-2</v>
      </c>
      <c r="DV49">
        <v>0.24710963999999999</v>
      </c>
      <c r="DW49">
        <v>7.2779133999999995E-2</v>
      </c>
      <c r="DX49">
        <v>2.2554219E-2</v>
      </c>
      <c r="DY49">
        <v>0.14143144999999999</v>
      </c>
      <c r="DZ49">
        <v>-0.60611879999999996</v>
      </c>
    </row>
    <row r="50" spans="1:130" x14ac:dyDescent="0.3">
      <c r="A50">
        <f>Board!$L$5</f>
        <v>0</v>
      </c>
      <c r="C50">
        <v>-0.20830103999999999</v>
      </c>
      <c r="D50">
        <v>0.42958760000000001</v>
      </c>
      <c r="E50">
        <v>2.1054811999999999E-2</v>
      </c>
      <c r="F50">
        <v>-9.0518914000000006E-2</v>
      </c>
      <c r="G50">
        <v>5.8398331999999997E-2</v>
      </c>
      <c r="H50">
        <v>-0.16959833999999999</v>
      </c>
      <c r="I50">
        <v>0.34001323999999999</v>
      </c>
      <c r="J50">
        <v>0.17298768</v>
      </c>
      <c r="K50">
        <v>-5.9866835000000002E-3</v>
      </c>
      <c r="L50">
        <v>4.7860927999999997E-2</v>
      </c>
      <c r="M50">
        <v>7.6753470000000004E-2</v>
      </c>
      <c r="N50">
        <v>-7.4918225000000005E-2</v>
      </c>
      <c r="O50">
        <v>-0.43973124000000002</v>
      </c>
      <c r="P50">
        <v>5.0165377999999997E-2</v>
      </c>
      <c r="Q50">
        <v>8.4789745999999999E-2</v>
      </c>
      <c r="R50">
        <v>-5.2872456999999998E-2</v>
      </c>
      <c r="S50">
        <v>-5.858584E-2</v>
      </c>
      <c r="T50">
        <v>-3.9822049999999998E-2</v>
      </c>
      <c r="U50">
        <v>-0.40398684000000001</v>
      </c>
      <c r="V50">
        <v>5.4227770000000002E-2</v>
      </c>
      <c r="W50">
        <v>7.4687265000000003E-2</v>
      </c>
      <c r="X50">
        <v>0.12498402</v>
      </c>
      <c r="Y50">
        <v>-0.17031573</v>
      </c>
      <c r="Z50">
        <v>8.0783540000000001E-2</v>
      </c>
      <c r="AA50">
        <v>-0.23463732000000001</v>
      </c>
      <c r="AB50">
        <v>0.121365055</v>
      </c>
      <c r="AC50">
        <v>-8.3921599999999992E-3</v>
      </c>
      <c r="AD50">
        <v>-2.0991703E-2</v>
      </c>
      <c r="AE50">
        <v>0.42812112000000002</v>
      </c>
      <c r="AF50">
        <v>-0.58093859999999997</v>
      </c>
      <c r="AG50">
        <v>0.21845023</v>
      </c>
      <c r="AH50">
        <v>-0.18320433999999999</v>
      </c>
      <c r="AI50">
        <v>4.1456535000000003E-2</v>
      </c>
      <c r="AJ50">
        <v>-0.32444319999999999</v>
      </c>
      <c r="AK50">
        <v>-0.14944188</v>
      </c>
      <c r="AL50">
        <v>-0.18482986000000001</v>
      </c>
      <c r="AM50">
        <v>-0.14636827999999999</v>
      </c>
      <c r="AN50">
        <v>0.20749813</v>
      </c>
      <c r="AO50">
        <v>0.32525556999999999</v>
      </c>
      <c r="AP50">
        <v>-6.1222053999999998E-2</v>
      </c>
      <c r="AQ50">
        <v>0.27413544000000001</v>
      </c>
      <c r="AR50">
        <v>0.29999438</v>
      </c>
      <c r="AS50">
        <v>9.0734183999999996E-2</v>
      </c>
      <c r="AT50">
        <v>2.808308E-2</v>
      </c>
      <c r="AU50">
        <v>-0.20908345</v>
      </c>
      <c r="AV50">
        <v>5.5403044000000004E-3</v>
      </c>
      <c r="AW50">
        <v>0.16006252000000001</v>
      </c>
      <c r="AX50">
        <v>0.17935213</v>
      </c>
      <c r="AY50">
        <v>0.18956213999999999</v>
      </c>
      <c r="AZ50">
        <v>-0.16885637000000001</v>
      </c>
      <c r="BA50">
        <v>-4.0429677999999997E-2</v>
      </c>
      <c r="BB50">
        <v>0.15233160000000001</v>
      </c>
      <c r="BC50">
        <v>-0.16610174999999999</v>
      </c>
      <c r="BD50">
        <v>0.17880546</v>
      </c>
      <c r="BE50">
        <v>-0.59628654000000003</v>
      </c>
      <c r="BF50">
        <v>-0.17677145999999999</v>
      </c>
      <c r="BG50">
        <v>1.0412273999999999E-2</v>
      </c>
      <c r="BH50">
        <v>-0.2351714</v>
      </c>
      <c r="BI50">
        <v>-0.33545049999999998</v>
      </c>
      <c r="BJ50">
        <v>-0.53938189999999997</v>
      </c>
      <c r="BK50">
        <v>0.13879092000000001</v>
      </c>
      <c r="BL50">
        <v>0.108109646</v>
      </c>
      <c r="BM50">
        <v>0.29085090000000002</v>
      </c>
      <c r="BN50">
        <v>0.14285708999999999</v>
      </c>
      <c r="BO50">
        <v>-1.5692734999999999E-2</v>
      </c>
      <c r="BP50">
        <v>0.23837294000000001</v>
      </c>
      <c r="BQ50">
        <v>-5.9930193999999999E-2</v>
      </c>
      <c r="BR50">
        <v>8.3217310000000003E-2</v>
      </c>
      <c r="BS50">
        <v>3.8776953000000003E-2</v>
      </c>
      <c r="BT50">
        <v>0.105376504</v>
      </c>
      <c r="BU50">
        <v>0.14929342000000001</v>
      </c>
      <c r="BV50">
        <v>-0.25257993000000001</v>
      </c>
      <c r="BW50">
        <v>-0.41259723999999998</v>
      </c>
      <c r="BX50">
        <v>4.4969544E-2</v>
      </c>
      <c r="BY50">
        <v>0.34955396999999999</v>
      </c>
      <c r="BZ50">
        <v>-7.8320749999999995E-2</v>
      </c>
      <c r="CA50">
        <v>0.14039202000000001</v>
      </c>
      <c r="CB50">
        <v>6.4720429999999995E-2</v>
      </c>
      <c r="CC50">
        <v>-0.19696575</v>
      </c>
      <c r="CD50">
        <v>-0.35310390000000003</v>
      </c>
      <c r="CE50">
        <v>-6.278278E-3</v>
      </c>
      <c r="CF50">
        <v>-0.16808595000000001</v>
      </c>
      <c r="CG50">
        <v>7.498465E-2</v>
      </c>
      <c r="CH50">
        <v>7.9434019999999994E-2</v>
      </c>
      <c r="CI50">
        <v>-7.2442944999999998E-3</v>
      </c>
      <c r="CJ50">
        <v>0.1069056</v>
      </c>
      <c r="CK50">
        <v>1.2047884E-2</v>
      </c>
      <c r="CL50">
        <v>6.6490172999999998E-3</v>
      </c>
      <c r="CM50">
        <v>-1.4330821000000001E-2</v>
      </c>
      <c r="CN50">
        <v>-1.4342173999999999E-2</v>
      </c>
      <c r="CO50">
        <v>0.34458828000000002</v>
      </c>
      <c r="CP50">
        <v>-0.71241889999999997</v>
      </c>
      <c r="CQ50">
        <v>6.7204945000000002E-2</v>
      </c>
      <c r="CR50">
        <v>0.20443536000000001</v>
      </c>
      <c r="CS50">
        <v>7.8085799999999997E-2</v>
      </c>
      <c r="CT50">
        <v>2.8483141E-2</v>
      </c>
      <c r="CU50">
        <v>-0.11919482000000001</v>
      </c>
      <c r="CV50">
        <v>0.25391465000000002</v>
      </c>
      <c r="CW50">
        <v>0.15249892000000001</v>
      </c>
      <c r="CX50">
        <v>0.16158801</v>
      </c>
      <c r="CY50">
        <v>1.5942709999999999E-2</v>
      </c>
      <c r="CZ50">
        <v>-3.0893904999999999E-2</v>
      </c>
      <c r="DA50">
        <v>-0.11390545000000001</v>
      </c>
      <c r="DB50">
        <v>4.4686234999999998E-2</v>
      </c>
      <c r="DC50">
        <v>-0.2964097</v>
      </c>
      <c r="DD50">
        <v>-0.17576694000000001</v>
      </c>
      <c r="DE50">
        <v>7.4268529999999999E-2</v>
      </c>
      <c r="DF50">
        <v>6.8098839999999994E-2</v>
      </c>
      <c r="DG50">
        <v>-0.37038179999999998</v>
      </c>
      <c r="DH50">
        <v>9.4732049999999998E-2</v>
      </c>
      <c r="DI50">
        <v>-0.16831388</v>
      </c>
      <c r="DJ50">
        <v>5.7136434999999999E-2</v>
      </c>
      <c r="DK50">
        <v>0.11346774499999999</v>
      </c>
      <c r="DL50">
        <v>-2.7472732999999998E-3</v>
      </c>
      <c r="DM50">
        <v>-7.4635809999999997E-2</v>
      </c>
      <c r="DN50">
        <v>-0.31528961999999999</v>
      </c>
      <c r="DO50">
        <v>0.17801987999999999</v>
      </c>
      <c r="DP50">
        <v>-7.8724050000000004E-2</v>
      </c>
      <c r="DQ50">
        <v>-9.9443525000000005E-2</v>
      </c>
      <c r="DR50">
        <v>-0.21532931999999999</v>
      </c>
      <c r="DS50">
        <v>-0.1498689</v>
      </c>
      <c r="DT50">
        <v>-2.2076663E-2</v>
      </c>
      <c r="DU50">
        <v>-6.6345039999999994E-2</v>
      </c>
      <c r="DV50">
        <v>0.23520699</v>
      </c>
      <c r="DW50">
        <v>6.9292426000000004E-2</v>
      </c>
      <c r="DX50">
        <v>-0.11185221400000001</v>
      </c>
      <c r="DY50">
        <v>-1.7475392999999999E-2</v>
      </c>
      <c r="DZ50">
        <v>-0.39452577</v>
      </c>
    </row>
    <row r="51" spans="1:130" x14ac:dyDescent="0.3">
      <c r="A51">
        <f>Board!$M$5</f>
        <v>0</v>
      </c>
      <c r="C51">
        <v>5.8765E-4</v>
      </c>
      <c r="D51">
        <v>0.39373162</v>
      </c>
      <c r="E51">
        <v>0.16762456000000001</v>
      </c>
      <c r="F51">
        <v>-0.14520412999999999</v>
      </c>
      <c r="G51">
        <v>0.15348092999999999</v>
      </c>
      <c r="H51">
        <v>0.11155865</v>
      </c>
      <c r="I51">
        <v>0.58153235999999997</v>
      </c>
      <c r="J51">
        <v>7.1295670000000005E-2</v>
      </c>
      <c r="K51">
        <v>-0.26216915000000002</v>
      </c>
      <c r="L51">
        <v>0.14007500000000001</v>
      </c>
      <c r="M51">
        <v>0.15578309000000001</v>
      </c>
      <c r="N51">
        <v>6.6456070000000006E-2</v>
      </c>
      <c r="O51">
        <v>-0.14833546</v>
      </c>
      <c r="P51">
        <v>5.675608E-2</v>
      </c>
      <c r="Q51">
        <v>-0.47623587000000001</v>
      </c>
      <c r="R51">
        <v>-0.13319300000000001</v>
      </c>
      <c r="S51">
        <v>0.19107722999999999</v>
      </c>
      <c r="T51">
        <v>0.21780073999999999</v>
      </c>
      <c r="U51">
        <v>-8.6776735000000001E-3</v>
      </c>
      <c r="V51">
        <v>0.5157813</v>
      </c>
      <c r="W51">
        <v>0.15475622999999999</v>
      </c>
      <c r="X51">
        <v>0.13816782999999999</v>
      </c>
      <c r="Y51">
        <v>-0.20678084999999999</v>
      </c>
      <c r="Z51">
        <v>-0.20898172000000001</v>
      </c>
      <c r="AA51">
        <v>0.24444842</v>
      </c>
      <c r="AB51">
        <v>0.24821151999999999</v>
      </c>
      <c r="AC51">
        <v>-1.2461799000000001E-2</v>
      </c>
      <c r="AD51">
        <v>5.1181116E-3</v>
      </c>
      <c r="AE51">
        <v>0.42190792999999999</v>
      </c>
      <c r="AF51">
        <v>-0.37319570000000002</v>
      </c>
      <c r="AG51">
        <v>-4.4066828000000002E-2</v>
      </c>
      <c r="AH51">
        <v>-0.10087006</v>
      </c>
      <c r="AI51">
        <v>-0.20375170000000001</v>
      </c>
      <c r="AJ51">
        <v>0.25745794</v>
      </c>
      <c r="AK51">
        <v>-0.37932120000000003</v>
      </c>
      <c r="AL51">
        <v>0.115016535</v>
      </c>
      <c r="AM51">
        <v>-1.6109264000000002E-2</v>
      </c>
      <c r="AN51">
        <v>0.21079734</v>
      </c>
      <c r="AO51">
        <v>0.27561999999999998</v>
      </c>
      <c r="AP51">
        <v>0.21646480000000001</v>
      </c>
      <c r="AQ51">
        <v>6.5300460000000003E-3</v>
      </c>
      <c r="AR51">
        <v>0.42326839999999999</v>
      </c>
      <c r="AS51">
        <v>0.43384936000000002</v>
      </c>
      <c r="AT51">
        <v>0.24124195000000001</v>
      </c>
      <c r="AU51">
        <v>-0.22946948</v>
      </c>
      <c r="AV51">
        <v>2.6820006E-2</v>
      </c>
      <c r="AW51">
        <v>0.27603397000000002</v>
      </c>
      <c r="AX51">
        <v>0.19862742999999999</v>
      </c>
      <c r="AY51">
        <v>-9.1997414999999999E-2</v>
      </c>
      <c r="AZ51">
        <v>-0.55716949999999998</v>
      </c>
      <c r="BA51">
        <v>-0.10207758</v>
      </c>
      <c r="BB51">
        <v>9.6678529999999999E-2</v>
      </c>
      <c r="BC51">
        <v>-0.29709864000000002</v>
      </c>
      <c r="BD51">
        <v>0.12681764000000001</v>
      </c>
      <c r="BE51">
        <v>-0.49074066</v>
      </c>
      <c r="BF51">
        <v>-4.8957410000000003E-3</v>
      </c>
      <c r="BG51">
        <v>-6.851285E-2</v>
      </c>
      <c r="BH51">
        <v>-2.1097281999999998E-2</v>
      </c>
      <c r="BI51">
        <v>-0.41900359999999998</v>
      </c>
      <c r="BJ51">
        <v>-0.33861827999999999</v>
      </c>
      <c r="BK51">
        <v>0.48121068</v>
      </c>
      <c r="BL51">
        <v>0.26821420000000001</v>
      </c>
      <c r="BM51">
        <v>0.18667552000000001</v>
      </c>
      <c r="BN51">
        <v>0.33047896999999998</v>
      </c>
      <c r="BO51">
        <v>5.7341333000000001E-2</v>
      </c>
      <c r="BP51">
        <v>0.18728209000000001</v>
      </c>
      <c r="BQ51">
        <v>0.10956868</v>
      </c>
      <c r="BR51">
        <v>1.8450955000000002E-2</v>
      </c>
      <c r="BS51">
        <v>0.10553351</v>
      </c>
      <c r="BT51">
        <v>1.3635863999999999E-2</v>
      </c>
      <c r="BU51">
        <v>0.16707248999999999</v>
      </c>
      <c r="BV51">
        <v>-0.30385897000000001</v>
      </c>
      <c r="BW51">
        <v>-0.30792536999999998</v>
      </c>
      <c r="BX51">
        <v>-1.1681993E-2</v>
      </c>
      <c r="BY51">
        <v>3.9430519999999997E-2</v>
      </c>
      <c r="BZ51">
        <v>-0.13946106999999999</v>
      </c>
      <c r="CA51">
        <v>0.14151268</v>
      </c>
      <c r="CB51">
        <v>-0.13407572000000001</v>
      </c>
      <c r="CC51">
        <v>0.30016140000000002</v>
      </c>
      <c r="CD51">
        <v>0.11693744</v>
      </c>
      <c r="CE51">
        <v>8.0054299999999995E-2</v>
      </c>
      <c r="CF51">
        <v>-0.26628204999999999</v>
      </c>
      <c r="CG51">
        <v>-0.37343880000000002</v>
      </c>
      <c r="CH51">
        <v>-6.6987950000000004E-2</v>
      </c>
      <c r="CI51">
        <v>0.24511003000000001</v>
      </c>
      <c r="CJ51">
        <v>-0.13469391999999999</v>
      </c>
      <c r="CK51">
        <v>-0.17892013000000001</v>
      </c>
      <c r="CL51">
        <v>0.17013243</v>
      </c>
      <c r="CM51">
        <v>2.2868340000000001E-2</v>
      </c>
      <c r="CN51">
        <v>0.20652835</v>
      </c>
      <c r="CO51">
        <v>0.16104244000000001</v>
      </c>
      <c r="CP51">
        <v>-0.26790799999999998</v>
      </c>
      <c r="CQ51">
        <v>-0.35921334999999999</v>
      </c>
      <c r="CR51">
        <v>0.21858259999999999</v>
      </c>
      <c r="CS51">
        <v>0.16963565</v>
      </c>
      <c r="CT51">
        <v>-2.2851844999999999E-2</v>
      </c>
      <c r="CU51">
        <v>-0.31186792000000002</v>
      </c>
      <c r="CV51">
        <v>2.9268779999999999E-3</v>
      </c>
      <c r="CW51">
        <v>-4.2089457000000002E-3</v>
      </c>
      <c r="CX51">
        <v>-5.1730129999999999E-2</v>
      </c>
      <c r="CY51">
        <v>2.1781655E-2</v>
      </c>
      <c r="CZ51">
        <v>9.4188510000000003E-2</v>
      </c>
      <c r="DA51">
        <v>0.23332908999999999</v>
      </c>
      <c r="DB51">
        <v>3.5789849999999998E-2</v>
      </c>
      <c r="DC51">
        <v>-6.3216519999999998E-2</v>
      </c>
      <c r="DD51">
        <v>0.1771056</v>
      </c>
      <c r="DE51">
        <v>6.3259889999999999E-2</v>
      </c>
      <c r="DF51">
        <v>0.11455113</v>
      </c>
      <c r="DG51">
        <v>-0.50348300000000001</v>
      </c>
      <c r="DH51">
        <v>0.21161395</v>
      </c>
      <c r="DI51">
        <v>-6.9055640000000001E-2</v>
      </c>
      <c r="DJ51">
        <v>8.681519E-2</v>
      </c>
      <c r="DK51">
        <v>0.17682755999999999</v>
      </c>
      <c r="DL51">
        <v>0.31158063000000003</v>
      </c>
      <c r="DM51">
        <v>0.31278697</v>
      </c>
      <c r="DN51">
        <v>-0.24223483000000001</v>
      </c>
      <c r="DO51">
        <v>7.8197660000000002E-2</v>
      </c>
      <c r="DP51">
        <v>-0.11705094000000001</v>
      </c>
      <c r="DQ51">
        <v>-9.0214329999999995E-2</v>
      </c>
      <c r="DR51">
        <v>-0.15129556999999999</v>
      </c>
      <c r="DS51">
        <v>-0.24910858</v>
      </c>
      <c r="DT51">
        <v>0.42902812000000001</v>
      </c>
      <c r="DU51">
        <v>5.8921342999999999E-3</v>
      </c>
      <c r="DV51">
        <v>0.1260927</v>
      </c>
      <c r="DW51">
        <v>0.32227644</v>
      </c>
      <c r="DX51">
        <v>-0.42656880000000003</v>
      </c>
      <c r="DY51">
        <v>-0.11429655599999999</v>
      </c>
      <c r="DZ51">
        <v>-0.29949211999999997</v>
      </c>
    </row>
    <row r="52" spans="1:130" x14ac:dyDescent="0.3">
      <c r="A52">
        <f>Board!$B$6</f>
        <v>0</v>
      </c>
      <c r="C52">
        <v>-0.18285929000000001</v>
      </c>
      <c r="D52">
        <v>-0.19507404</v>
      </c>
      <c r="E52">
        <v>-5.8648337000000002E-2</v>
      </c>
      <c r="F52">
        <v>0.23198705999999999</v>
      </c>
      <c r="G52">
        <v>-4.7973997999999997E-2</v>
      </c>
      <c r="H52">
        <v>-0.28355133999999999</v>
      </c>
      <c r="I52">
        <v>-0.29664965999999998</v>
      </c>
      <c r="J52">
        <v>-0.17428693000000001</v>
      </c>
      <c r="K52">
        <v>0.22970541999999999</v>
      </c>
      <c r="L52">
        <v>2.0064142E-2</v>
      </c>
      <c r="M52">
        <v>0.10981078399999999</v>
      </c>
      <c r="N52">
        <v>-0.13613475999999999</v>
      </c>
      <c r="O52">
        <v>0.31167060000000002</v>
      </c>
      <c r="P52">
        <v>0.21224351</v>
      </c>
      <c r="Q52">
        <v>0.31508522999999999</v>
      </c>
      <c r="R52">
        <v>-0.11576628999999999</v>
      </c>
      <c r="S52">
        <v>-0.31443052999999999</v>
      </c>
      <c r="T52">
        <v>-0.23221940999999999</v>
      </c>
      <c r="U52">
        <v>0.17074458000000001</v>
      </c>
      <c r="V52">
        <v>0.31557693999999997</v>
      </c>
      <c r="W52">
        <v>0.21477889</v>
      </c>
      <c r="X52">
        <v>5.2507039999999998E-2</v>
      </c>
      <c r="Y52">
        <v>0.19177678000000001</v>
      </c>
      <c r="Z52">
        <v>-0.40513515</v>
      </c>
      <c r="AA52">
        <v>-2.3230819E-2</v>
      </c>
      <c r="AB52">
        <v>-6.968067E-2</v>
      </c>
      <c r="AC52">
        <v>0.24406671999999999</v>
      </c>
      <c r="AD52">
        <v>0.30274212</v>
      </c>
      <c r="AE52">
        <v>-9.5830515000000005E-2</v>
      </c>
      <c r="AF52">
        <v>-4.9380569999999999E-2</v>
      </c>
      <c r="AG52">
        <v>0.33835799</v>
      </c>
      <c r="AH52">
        <v>-0.14225987000000001</v>
      </c>
      <c r="AI52">
        <v>0.22788849999999999</v>
      </c>
      <c r="AJ52">
        <v>-0.12750326000000001</v>
      </c>
      <c r="AK52">
        <v>-0.25393070000000001</v>
      </c>
      <c r="AL52">
        <v>0.25430688000000001</v>
      </c>
      <c r="AM52">
        <v>0.18556549999999999</v>
      </c>
      <c r="AN52">
        <v>0.21049699999999999</v>
      </c>
      <c r="AO52">
        <v>2.1639330999999999E-3</v>
      </c>
      <c r="AP52">
        <v>0.18480378</v>
      </c>
      <c r="AQ52">
        <v>-2.9874872E-2</v>
      </c>
      <c r="AR52">
        <v>0.35004875000000002</v>
      </c>
      <c r="AS52">
        <v>-0.25943695999999999</v>
      </c>
      <c r="AT52">
        <v>-1.2162265E-2</v>
      </c>
      <c r="AU52">
        <v>-0.27576852000000002</v>
      </c>
      <c r="AV52">
        <v>0.12056681</v>
      </c>
      <c r="AW52">
        <v>0.40340527999999998</v>
      </c>
      <c r="AX52">
        <v>2.8480543000000001E-2</v>
      </c>
      <c r="AY52">
        <v>-0.28151205000000001</v>
      </c>
      <c r="AZ52">
        <v>0.26559958</v>
      </c>
      <c r="BA52">
        <v>-4.8267520000000001E-2</v>
      </c>
      <c r="BB52">
        <v>0.26610813</v>
      </c>
      <c r="BC52">
        <v>-1.5817790000000002E-2</v>
      </c>
      <c r="BD52">
        <v>-0.17845829999999999</v>
      </c>
      <c r="BE52">
        <v>2.028669E-2</v>
      </c>
      <c r="BF52">
        <v>-0.35244805000000001</v>
      </c>
      <c r="BG52">
        <v>0.27092897999999999</v>
      </c>
      <c r="BH52">
        <v>-0.19180539999999999</v>
      </c>
      <c r="BI52">
        <v>-5.3304567999999997E-2</v>
      </c>
      <c r="BJ52">
        <v>0.28360105000000002</v>
      </c>
      <c r="BK52">
        <v>7.3088799999999995E-2</v>
      </c>
      <c r="BL52">
        <v>-0.15599713000000001</v>
      </c>
      <c r="BM52">
        <v>0.32609653</v>
      </c>
      <c r="BN52">
        <v>4.5459515999999998E-2</v>
      </c>
      <c r="BO52">
        <v>4.2109559999999997E-2</v>
      </c>
      <c r="BP52">
        <v>-0.25474203000000001</v>
      </c>
      <c r="BQ52">
        <v>-9.6807340000000006E-2</v>
      </c>
      <c r="BR52">
        <v>-0.10191695000000001</v>
      </c>
      <c r="BS52">
        <v>4.6096932E-2</v>
      </c>
      <c r="BT52">
        <v>-4.6845980000000002E-2</v>
      </c>
      <c r="BU52">
        <v>-0.11204556</v>
      </c>
      <c r="BV52">
        <v>0.40925992</v>
      </c>
      <c r="BW52">
        <v>-0.14200325</v>
      </c>
      <c r="BX52">
        <v>-5.6130942000000003E-2</v>
      </c>
      <c r="BY52">
        <v>-0.20100056999999999</v>
      </c>
      <c r="BZ52">
        <v>0.26661985999999999</v>
      </c>
      <c r="CA52">
        <v>4.8668525999999997E-2</v>
      </c>
      <c r="CB52">
        <v>0.30287989999999998</v>
      </c>
      <c r="CC52">
        <v>-0.15843889999999999</v>
      </c>
      <c r="CD52">
        <v>5.9746034000000003E-2</v>
      </c>
      <c r="CE52">
        <v>-6.0385212000000001E-2</v>
      </c>
      <c r="CF52">
        <v>0.15436820000000001</v>
      </c>
      <c r="CG52">
        <v>0.22695477</v>
      </c>
      <c r="CH52">
        <v>0.18025044000000001</v>
      </c>
      <c r="CI52">
        <v>0.11992924000000001</v>
      </c>
      <c r="CJ52">
        <v>0.15649249000000001</v>
      </c>
      <c r="CK52">
        <v>0.29214980000000002</v>
      </c>
      <c r="CL52">
        <v>0.36475635000000001</v>
      </c>
      <c r="CM52">
        <v>-4.7627017000000001E-2</v>
      </c>
      <c r="CN52">
        <v>0.44466797000000002</v>
      </c>
      <c r="CO52">
        <v>-0.14123552</v>
      </c>
      <c r="CP52">
        <v>0.17994552999999999</v>
      </c>
      <c r="CQ52">
        <v>-0.18036930000000001</v>
      </c>
      <c r="CR52">
        <v>9.3920864000000007E-2</v>
      </c>
      <c r="CS52">
        <v>0.4139062</v>
      </c>
      <c r="CT52">
        <v>7.8652540000000003E-3</v>
      </c>
      <c r="CU52">
        <v>-0.13434436999999999</v>
      </c>
      <c r="CV52">
        <v>0.16986798</v>
      </c>
      <c r="CW52">
        <v>0.10006691</v>
      </c>
      <c r="CX52">
        <v>-1.2530312E-3</v>
      </c>
      <c r="CY52">
        <v>-0.20543098000000001</v>
      </c>
      <c r="CZ52">
        <v>0.36021694999999998</v>
      </c>
      <c r="DA52">
        <v>-0.23760489000000001</v>
      </c>
      <c r="DB52">
        <v>0.25610880000000003</v>
      </c>
      <c r="DC52">
        <v>-9.9430870000000005E-2</v>
      </c>
      <c r="DD52">
        <v>-6.2572985999999997E-2</v>
      </c>
      <c r="DE52">
        <v>-0.29879804999999998</v>
      </c>
      <c r="DF52">
        <v>0.37487903</v>
      </c>
      <c r="DG52">
        <v>0.25698100000000001</v>
      </c>
      <c r="DH52">
        <v>-0.37835178000000003</v>
      </c>
      <c r="DI52">
        <v>3.5955337999999998E-4</v>
      </c>
      <c r="DJ52">
        <v>0.28691420000000001</v>
      </c>
      <c r="DK52">
        <v>0.29434755000000001</v>
      </c>
      <c r="DL52">
        <v>-6.6677965000000006E-2</v>
      </c>
      <c r="DM52">
        <v>-0.22487119</v>
      </c>
      <c r="DN52">
        <v>-5.3610140000000001E-2</v>
      </c>
      <c r="DO52">
        <v>-0.13872814</v>
      </c>
      <c r="DP52">
        <v>-3.1868162999999998E-2</v>
      </c>
      <c r="DQ52">
        <v>0.28518343000000002</v>
      </c>
      <c r="DR52">
        <v>-0.21706507</v>
      </c>
      <c r="DS52">
        <v>-0.109723024</v>
      </c>
      <c r="DT52">
        <v>-4.9366436999999999E-2</v>
      </c>
      <c r="DU52">
        <v>1.9907035E-2</v>
      </c>
      <c r="DV52">
        <v>0.19909378999999999</v>
      </c>
      <c r="DW52">
        <v>0.21509867999999999</v>
      </c>
      <c r="DX52">
        <v>0.34667784000000001</v>
      </c>
      <c r="DY52">
        <v>0.24422112000000001</v>
      </c>
      <c r="DZ52">
        <v>-0.16706997000000001</v>
      </c>
    </row>
    <row r="53" spans="1:130" x14ac:dyDescent="0.3">
      <c r="A53">
        <f>Board!$C$6</f>
        <v>0</v>
      </c>
      <c r="C53">
        <v>-0.18741206999999999</v>
      </c>
      <c r="D53">
        <v>-9.7404316000000005E-2</v>
      </c>
      <c r="E53">
        <v>-0.211147</v>
      </c>
      <c r="F53">
        <v>7.6348860000000004E-2</v>
      </c>
      <c r="G53">
        <v>-7.3355644999999997E-2</v>
      </c>
      <c r="H53">
        <v>-0.22810853</v>
      </c>
      <c r="I53">
        <v>-0.21536763</v>
      </c>
      <c r="J53">
        <v>0.17165078</v>
      </c>
      <c r="K53">
        <v>0.37741572000000001</v>
      </c>
      <c r="L53">
        <v>-0.12339069</v>
      </c>
      <c r="M53">
        <v>6.2435925000000003E-2</v>
      </c>
      <c r="N53">
        <v>7.6712630000000004E-2</v>
      </c>
      <c r="O53">
        <v>0.23834135000000001</v>
      </c>
      <c r="P53">
        <v>0.13239475000000001</v>
      </c>
      <c r="Q53">
        <v>-0.13557938</v>
      </c>
      <c r="R53">
        <v>0.20439339000000001</v>
      </c>
      <c r="S53">
        <v>-4.3499039999999998E-4</v>
      </c>
      <c r="T53">
        <v>7.5546630000000004E-2</v>
      </c>
      <c r="U53">
        <v>-0.10883219</v>
      </c>
      <c r="V53">
        <v>0.22334461</v>
      </c>
      <c r="W53">
        <v>6.6985859999999994E-2</v>
      </c>
      <c r="X53">
        <v>2.4615306E-2</v>
      </c>
      <c r="Y53">
        <v>-3.0269214999999999E-2</v>
      </c>
      <c r="Z53">
        <v>-8.7542660000000001E-3</v>
      </c>
      <c r="AA53">
        <v>0.21200131</v>
      </c>
      <c r="AB53">
        <v>-4.8701832999999998E-3</v>
      </c>
      <c r="AC53">
        <v>-6.4275109999999996E-2</v>
      </c>
      <c r="AD53">
        <v>5.7707183000000002E-2</v>
      </c>
      <c r="AE53">
        <v>0.16155283000000001</v>
      </c>
      <c r="AF53">
        <v>-0.33838057999999999</v>
      </c>
      <c r="AG53">
        <v>0.16450877</v>
      </c>
      <c r="AH53">
        <v>-0.1436336</v>
      </c>
      <c r="AI53">
        <v>0.1029426</v>
      </c>
      <c r="AJ53">
        <v>5.0319940000000001E-2</v>
      </c>
      <c r="AK53">
        <v>4.0445620000000002E-2</v>
      </c>
      <c r="AL53">
        <v>0.10093093</v>
      </c>
      <c r="AM53">
        <v>0.14253299</v>
      </c>
      <c r="AN53">
        <v>0.33871403</v>
      </c>
      <c r="AO53">
        <v>9.5451839999999996E-2</v>
      </c>
      <c r="AP53">
        <v>-1.7653063E-2</v>
      </c>
      <c r="AQ53">
        <v>0.102635086</v>
      </c>
      <c r="AR53">
        <v>0.26098567</v>
      </c>
      <c r="AS53">
        <v>-3.1740303999999997E-2</v>
      </c>
      <c r="AT53">
        <v>0.29863532999999998</v>
      </c>
      <c r="AU53">
        <v>-2.5190718000000001E-2</v>
      </c>
      <c r="AV53">
        <v>9.4611600000000004E-2</v>
      </c>
      <c r="AW53">
        <v>2.3859342999999998E-3</v>
      </c>
      <c r="AX53">
        <v>-7.3075600000000004E-2</v>
      </c>
      <c r="AY53">
        <v>2.4374142000000001E-2</v>
      </c>
      <c r="AZ53">
        <v>-0.10525477</v>
      </c>
      <c r="BA53">
        <v>0.13470315999999999</v>
      </c>
      <c r="BB53">
        <v>9.1916494000000001E-2</v>
      </c>
      <c r="BC53">
        <v>-0.14773317</v>
      </c>
      <c r="BD53">
        <v>3.3261253999999997E-2</v>
      </c>
      <c r="BE53">
        <v>0.12929857</v>
      </c>
      <c r="BF53">
        <v>-0.14999813000000001</v>
      </c>
      <c r="BG53">
        <v>3.706131E-2</v>
      </c>
      <c r="BH53">
        <v>-3.8294244999999998E-2</v>
      </c>
      <c r="BI53">
        <v>0.114035174</v>
      </c>
      <c r="BJ53">
        <v>-0.19946710000000001</v>
      </c>
      <c r="BK53">
        <v>3.9522305000000001E-2</v>
      </c>
      <c r="BL53">
        <v>-0.19719724</v>
      </c>
      <c r="BM53">
        <v>0.21057134999999999</v>
      </c>
      <c r="BN53">
        <v>-3.2993740000000001E-2</v>
      </c>
      <c r="BO53">
        <v>5.8291030000000001E-2</v>
      </c>
      <c r="BP53">
        <v>-8.9462910000000007E-2</v>
      </c>
      <c r="BQ53">
        <v>-7.2535223999999995E-2</v>
      </c>
      <c r="BR53">
        <v>-9.0764739999999997E-2</v>
      </c>
      <c r="BS53">
        <v>-0.14302993999999999</v>
      </c>
      <c r="BT53">
        <v>-3.1867930000000003E-2</v>
      </c>
      <c r="BU53">
        <v>-0.29135555000000002</v>
      </c>
      <c r="BV53">
        <v>0.25436944</v>
      </c>
      <c r="BW53">
        <v>0.10225144999999999</v>
      </c>
      <c r="BX53">
        <v>-0.25806045999999999</v>
      </c>
      <c r="BY53">
        <v>-0.22968873000000001</v>
      </c>
      <c r="BZ53">
        <v>-0.14329389000000001</v>
      </c>
      <c r="CA53">
        <v>5.7448107999999998E-2</v>
      </c>
      <c r="CB53">
        <v>0.26943876999999999</v>
      </c>
      <c r="CC53">
        <v>-2.4163863000000001E-2</v>
      </c>
      <c r="CD53">
        <v>0.27336723000000002</v>
      </c>
      <c r="CE53">
        <v>-8.1614820000000005E-2</v>
      </c>
      <c r="CF53">
        <v>1.4055602E-2</v>
      </c>
      <c r="CG53">
        <v>0.21000131999999999</v>
      </c>
      <c r="CH53">
        <v>0.31225237</v>
      </c>
      <c r="CI53">
        <v>-1.5663554999999999E-2</v>
      </c>
      <c r="CJ53">
        <v>-0.16686190000000001</v>
      </c>
      <c r="CK53">
        <v>1.4269758999999999E-3</v>
      </c>
      <c r="CL53">
        <v>4.3715919999999998E-2</v>
      </c>
      <c r="CM53">
        <v>-0.17427746999999999</v>
      </c>
      <c r="CN53">
        <v>0.11461006</v>
      </c>
      <c r="CO53">
        <v>-9.1652540000000005E-2</v>
      </c>
      <c r="CP53">
        <v>3.6942336999999999E-2</v>
      </c>
      <c r="CQ53">
        <v>1.3815757999999999E-2</v>
      </c>
      <c r="CR53">
        <v>-0.16082576000000001</v>
      </c>
      <c r="CS53">
        <v>0.36787412000000003</v>
      </c>
      <c r="CT53">
        <v>9.5217049999999998E-2</v>
      </c>
      <c r="CU53">
        <v>0.20279905000000001</v>
      </c>
      <c r="CV53">
        <v>-0.13882974000000001</v>
      </c>
      <c r="CW53">
        <v>2.9280457999999999E-2</v>
      </c>
      <c r="CX53">
        <v>6.7802909999999994E-2</v>
      </c>
      <c r="CY53">
        <v>-0.20070830000000001</v>
      </c>
      <c r="CZ53">
        <v>-1.2683331000000001E-2</v>
      </c>
      <c r="DA53">
        <v>-0.22537104999999999</v>
      </c>
      <c r="DB53">
        <v>5.2583918E-2</v>
      </c>
      <c r="DC53">
        <v>-0.26748159999999999</v>
      </c>
      <c r="DD53">
        <v>-0.259048</v>
      </c>
      <c r="DE53">
        <v>3.7560306000000002E-2</v>
      </c>
      <c r="DF53">
        <v>-4.4366019999999999E-2</v>
      </c>
      <c r="DG53">
        <v>1.2350122E-2</v>
      </c>
      <c r="DH53">
        <v>-0.23707004000000001</v>
      </c>
      <c r="DI53">
        <v>-3.8912028000000001E-2</v>
      </c>
      <c r="DJ53">
        <v>0.18320099000000001</v>
      </c>
      <c r="DK53">
        <v>0.20050792000000001</v>
      </c>
      <c r="DL53">
        <v>-0.12884446999999999</v>
      </c>
      <c r="DM53">
        <v>-0.17218154999999999</v>
      </c>
      <c r="DN53">
        <v>0.27153139999999998</v>
      </c>
      <c r="DO53">
        <v>-1.5681665000000001E-2</v>
      </c>
      <c r="DP53">
        <v>8.7035749999999995E-2</v>
      </c>
      <c r="DQ53">
        <v>0.11936584</v>
      </c>
      <c r="DR53">
        <v>-0.12669104</v>
      </c>
      <c r="DS53">
        <v>-6.2071104000000002E-2</v>
      </c>
      <c r="DT53">
        <v>3.7209284000000002E-2</v>
      </c>
      <c r="DU53">
        <v>2.1767366999999999E-2</v>
      </c>
      <c r="DV53">
        <v>0.28064840000000002</v>
      </c>
      <c r="DW53">
        <v>-7.4605859999999996E-2</v>
      </c>
      <c r="DX53">
        <v>-0.12390880999999999</v>
      </c>
      <c r="DY53">
        <v>4.553517E-2</v>
      </c>
      <c r="DZ53">
        <v>-0.16055068</v>
      </c>
    </row>
    <row r="54" spans="1:130" x14ac:dyDescent="0.3">
      <c r="A54">
        <f>Board!$D$6</f>
        <v>0</v>
      </c>
      <c r="C54">
        <v>0.13202594000000001</v>
      </c>
      <c r="D54">
        <v>0.21241035999999999</v>
      </c>
      <c r="E54">
        <v>-0.14233087</v>
      </c>
      <c r="F54">
        <v>9.1797723999999997E-2</v>
      </c>
      <c r="G54">
        <v>5.7443645000000002E-2</v>
      </c>
      <c r="H54">
        <v>-7.2842285000000007E-2</v>
      </c>
      <c r="I54">
        <v>2.6100937000000001E-2</v>
      </c>
      <c r="J54">
        <v>0.23306905</v>
      </c>
      <c r="K54">
        <v>1.7230506999999999E-2</v>
      </c>
      <c r="L54">
        <v>-0.32869208</v>
      </c>
      <c r="M54">
        <v>1.3155185E-2</v>
      </c>
      <c r="N54">
        <v>0.17809164999999999</v>
      </c>
      <c r="O54">
        <v>0.37046783999999999</v>
      </c>
      <c r="P54">
        <v>0.14822768</v>
      </c>
      <c r="Q54">
        <v>-0.24140718999999999</v>
      </c>
      <c r="R54">
        <v>0.32482045999999998</v>
      </c>
      <c r="S54">
        <v>0.32891724</v>
      </c>
      <c r="T54">
        <v>0.15294155000000001</v>
      </c>
      <c r="U54">
        <v>-0.16829082000000001</v>
      </c>
      <c r="V54">
        <v>5.2192210000000003E-2</v>
      </c>
      <c r="W54">
        <v>-1.9153085E-2</v>
      </c>
      <c r="X54">
        <v>-0.20157402999999999</v>
      </c>
      <c r="Y54">
        <v>8.3883860000000005E-2</v>
      </c>
      <c r="Z54">
        <v>6.4331725000000006E-2</v>
      </c>
      <c r="AA54">
        <v>0.20833667</v>
      </c>
      <c r="AB54">
        <v>8.8937000000000002E-2</v>
      </c>
      <c r="AC54">
        <v>2.4606299000000002E-2</v>
      </c>
      <c r="AD54">
        <v>7.7861635999999998E-3</v>
      </c>
      <c r="AE54">
        <v>-7.4350609999999998E-2</v>
      </c>
      <c r="AF54">
        <v>-0.62563690000000005</v>
      </c>
      <c r="AG54">
        <v>2.3858614E-2</v>
      </c>
      <c r="AH54">
        <v>-9.3946113999999997E-2</v>
      </c>
      <c r="AI54">
        <v>8.1758335000000001E-2</v>
      </c>
      <c r="AJ54">
        <v>-3.4520750000000002E-3</v>
      </c>
      <c r="AK54">
        <v>-0.12309005000000001</v>
      </c>
      <c r="AL54">
        <v>0.15619878000000001</v>
      </c>
      <c r="AM54">
        <v>0.12834770000000001</v>
      </c>
      <c r="AN54">
        <v>0.11531095</v>
      </c>
      <c r="AO54">
        <v>0.29506198</v>
      </c>
      <c r="AP54">
        <v>-0.12770571999999999</v>
      </c>
      <c r="AQ54">
        <v>7.9843945999999999E-2</v>
      </c>
      <c r="AR54">
        <v>8.6454749999999997E-2</v>
      </c>
      <c r="AS54">
        <v>3.4040081999999999E-2</v>
      </c>
      <c r="AT54">
        <v>-3.4243003000000001E-2</v>
      </c>
      <c r="AU54">
        <v>0.119585104</v>
      </c>
      <c r="AV54">
        <v>-3.1289193999999999E-2</v>
      </c>
      <c r="AW54">
        <v>8.0074519999999996E-2</v>
      </c>
      <c r="AX54">
        <v>7.2412149999999995E-2</v>
      </c>
      <c r="AY54">
        <v>-0.101163685</v>
      </c>
      <c r="AZ54">
        <v>-1.3061019E-2</v>
      </c>
      <c r="BA54">
        <v>0.21374702000000001</v>
      </c>
      <c r="BB54">
        <v>-3.8191255E-2</v>
      </c>
      <c r="BC54">
        <v>-0.24300248999999999</v>
      </c>
      <c r="BD54">
        <v>-0.16111887</v>
      </c>
      <c r="BE54">
        <v>8.2456180000000004E-2</v>
      </c>
      <c r="BF54">
        <v>-2.7418556E-2</v>
      </c>
      <c r="BG54">
        <v>7.5162069999999997E-2</v>
      </c>
      <c r="BH54">
        <v>-9.8867859999999998E-3</v>
      </c>
      <c r="BI54">
        <v>3.8449876000000001E-2</v>
      </c>
      <c r="BJ54">
        <v>1.5954942999999999E-2</v>
      </c>
      <c r="BK54">
        <v>7.5199680000000005E-2</v>
      </c>
      <c r="BL54">
        <v>-8.4744014000000006E-2</v>
      </c>
      <c r="BM54">
        <v>0.15731983999999999</v>
      </c>
      <c r="BN54">
        <v>-5.9927340000000003E-2</v>
      </c>
      <c r="BO54">
        <v>-0.26303878000000003</v>
      </c>
      <c r="BP54">
        <v>4.7505065999999999E-2</v>
      </c>
      <c r="BQ54">
        <v>0.12350484</v>
      </c>
      <c r="BR54">
        <v>-0.36017623999999998</v>
      </c>
      <c r="BS54">
        <v>-0.31375796</v>
      </c>
      <c r="BT54">
        <v>-0.25326562000000002</v>
      </c>
      <c r="BU54">
        <v>-0.43792984000000001</v>
      </c>
      <c r="BV54">
        <v>-1.4582410000000001E-2</v>
      </c>
      <c r="BW54">
        <v>-0.40501251999999999</v>
      </c>
      <c r="BX54">
        <v>-0.35468035999999997</v>
      </c>
      <c r="BY54">
        <v>3.0673890999999998E-2</v>
      </c>
      <c r="BZ54">
        <v>0.20318905000000001</v>
      </c>
      <c r="CA54">
        <v>-0.12025493399999999</v>
      </c>
      <c r="CB54">
        <v>0.30522713000000001</v>
      </c>
      <c r="CC54">
        <v>-0.40840209999999999</v>
      </c>
      <c r="CD54">
        <v>0.22480240000000001</v>
      </c>
      <c r="CE54">
        <v>0.18573990000000001</v>
      </c>
      <c r="CF54">
        <v>4.1065615E-2</v>
      </c>
      <c r="CG54">
        <v>-0.12545632000000001</v>
      </c>
      <c r="CH54">
        <v>8.7331199999999998E-2</v>
      </c>
      <c r="CI54">
        <v>0.20693089000000001</v>
      </c>
      <c r="CJ54">
        <v>3.3107619999999997E-2</v>
      </c>
      <c r="CK54">
        <v>0.19101294999999999</v>
      </c>
      <c r="CL54">
        <v>0.17985691000000001</v>
      </c>
      <c r="CM54">
        <v>-0.3235016</v>
      </c>
      <c r="CN54">
        <v>2.2160439000000001E-2</v>
      </c>
      <c r="CO54">
        <v>-0.16187745000000001</v>
      </c>
      <c r="CP54">
        <v>-8.0818585999999998E-2</v>
      </c>
      <c r="CQ54">
        <v>1.5214098000000001E-2</v>
      </c>
      <c r="CR54">
        <v>-0.27833523999999998</v>
      </c>
      <c r="CS54">
        <v>0.20113821000000001</v>
      </c>
      <c r="CT54">
        <v>-0.24924072999999999</v>
      </c>
      <c r="CU54">
        <v>-0.19671986999999999</v>
      </c>
      <c r="CV54">
        <v>5.6426599999999999E-3</v>
      </c>
      <c r="CW54">
        <v>2.230292E-2</v>
      </c>
      <c r="CX54">
        <v>8.0313099999999998E-2</v>
      </c>
      <c r="CY54">
        <v>2.6871152E-3</v>
      </c>
      <c r="CZ54">
        <v>-4.4271246E-2</v>
      </c>
      <c r="DA54">
        <v>-6.3763700000000006E-2</v>
      </c>
      <c r="DB54">
        <v>-0.18542713999999999</v>
      </c>
      <c r="DC54">
        <v>-0.17295983000000001</v>
      </c>
      <c r="DD54">
        <v>-0.3513424</v>
      </c>
      <c r="DE54">
        <v>5.0364449999999998E-2</v>
      </c>
      <c r="DF54">
        <v>-2.512901E-2</v>
      </c>
      <c r="DG54">
        <v>0.31817412</v>
      </c>
      <c r="DH54">
        <v>0.11664811999999999</v>
      </c>
      <c r="DI54">
        <v>-6.3834435999999994E-2</v>
      </c>
      <c r="DJ54">
        <v>0.10166967</v>
      </c>
      <c r="DK54">
        <v>-2.6808582000000001E-2</v>
      </c>
      <c r="DL54">
        <v>-0.29707548</v>
      </c>
      <c r="DM54">
        <v>0.10351030999999999</v>
      </c>
      <c r="DN54">
        <v>-5.2055214000000002E-2</v>
      </c>
      <c r="DO54">
        <v>-0.22004698</v>
      </c>
      <c r="DP54">
        <v>-0.23102607999999999</v>
      </c>
      <c r="DQ54">
        <v>2.483724E-2</v>
      </c>
      <c r="DR54">
        <v>-0.19159784999999999</v>
      </c>
      <c r="DS54">
        <v>2.5966092999999999E-2</v>
      </c>
      <c r="DT54">
        <v>5.2375890000000001E-2</v>
      </c>
      <c r="DU54">
        <v>1.1265997E-2</v>
      </c>
      <c r="DV54">
        <v>-0.19315446999999999</v>
      </c>
      <c r="DW54">
        <v>-5.8216900000000002E-2</v>
      </c>
      <c r="DX54">
        <v>0.24799977000000001</v>
      </c>
      <c r="DY54">
        <v>-6.6423300000000005E-2</v>
      </c>
      <c r="DZ54">
        <v>-0.42256537</v>
      </c>
    </row>
    <row r="55" spans="1:130" x14ac:dyDescent="0.3">
      <c r="A55">
        <f>Board!$E$6</f>
        <v>0</v>
      </c>
      <c r="C55">
        <v>-6.5665589999999996E-3</v>
      </c>
      <c r="D55">
        <v>4.6082743000000002E-2</v>
      </c>
      <c r="E55">
        <v>-3.6151460000000003E-2</v>
      </c>
      <c r="F55">
        <v>0.10089291</v>
      </c>
      <c r="G55">
        <v>6.0123549999999998E-2</v>
      </c>
      <c r="H55">
        <v>7.0121749999999997E-2</v>
      </c>
      <c r="I55">
        <v>0.14851020000000001</v>
      </c>
      <c r="J55">
        <v>4.5187376000000001E-2</v>
      </c>
      <c r="K55">
        <v>1.5199669000000001E-2</v>
      </c>
      <c r="L55">
        <v>-4.1011319999999997E-2</v>
      </c>
      <c r="M55">
        <v>-6.8903450000000005E-2</v>
      </c>
      <c r="N55">
        <v>7.8270599999999996E-2</v>
      </c>
      <c r="O55">
        <v>0.16250443000000001</v>
      </c>
      <c r="P55">
        <v>0.102022715</v>
      </c>
      <c r="Q55">
        <v>-0.13146567000000001</v>
      </c>
      <c r="R55">
        <v>-2.4857305E-3</v>
      </c>
      <c r="S55">
        <v>0.28814319999999999</v>
      </c>
      <c r="T55">
        <v>0.23981716</v>
      </c>
      <c r="U55">
        <v>-4.7008429999999997E-2</v>
      </c>
      <c r="V55">
        <v>8.3458679999999993E-2</v>
      </c>
      <c r="W55">
        <v>7.3768769999999997E-2</v>
      </c>
      <c r="X55">
        <v>-2.0457671E-3</v>
      </c>
      <c r="Y55">
        <v>0.34043785999999998</v>
      </c>
      <c r="Z55">
        <v>-0.11556693</v>
      </c>
      <c r="AA55">
        <v>8.1366523999999996E-2</v>
      </c>
      <c r="AB55">
        <v>2.4866387E-2</v>
      </c>
      <c r="AC55">
        <v>-6.8657220000000005E-2</v>
      </c>
      <c r="AD55">
        <v>0.13957079999999999</v>
      </c>
      <c r="AE55">
        <v>-0.16266094</v>
      </c>
      <c r="AF55">
        <v>0.12213934</v>
      </c>
      <c r="AG55">
        <v>4.4212899999999999E-2</v>
      </c>
      <c r="AH55">
        <v>-0.15353449999999999</v>
      </c>
      <c r="AI55">
        <v>0.12582678999999999</v>
      </c>
      <c r="AJ55">
        <v>5.6306474000000002E-2</v>
      </c>
      <c r="AK55">
        <v>-0.15024994</v>
      </c>
      <c r="AL55">
        <v>2.4009316999999999E-2</v>
      </c>
      <c r="AM55">
        <v>6.8967520000000004E-2</v>
      </c>
      <c r="AN55">
        <v>0.10431718</v>
      </c>
      <c r="AO55">
        <v>0.16860559999999999</v>
      </c>
      <c r="AP55">
        <v>-4.1106223999999997E-2</v>
      </c>
      <c r="AQ55">
        <v>5.2940760000000003E-2</v>
      </c>
      <c r="AR55">
        <v>-0.13068315</v>
      </c>
      <c r="AS55">
        <v>0.10446664</v>
      </c>
      <c r="AT55">
        <v>-1.0306907000000001E-2</v>
      </c>
      <c r="AU55">
        <v>6.5713145000000001E-2</v>
      </c>
      <c r="AV55">
        <v>-0.14008677</v>
      </c>
      <c r="AW55">
        <v>-6.1525820000000002E-2</v>
      </c>
      <c r="AX55">
        <v>-3.5811540000000003E-2</v>
      </c>
      <c r="AY55">
        <v>-3.4937904999999998E-3</v>
      </c>
      <c r="AZ55">
        <v>-1.0140944000000001E-2</v>
      </c>
      <c r="BA55">
        <v>0.14596339</v>
      </c>
      <c r="BB55">
        <v>4.6734409999999997E-2</v>
      </c>
      <c r="BC55">
        <v>-0.22290234</v>
      </c>
      <c r="BD55">
        <v>0.16642783999999999</v>
      </c>
      <c r="BE55">
        <v>4.3026004E-2</v>
      </c>
      <c r="BF55">
        <v>9.9476284999999998E-2</v>
      </c>
      <c r="BG55">
        <v>8.4000859999999997E-2</v>
      </c>
      <c r="BH55">
        <v>-5.0752819999999997E-2</v>
      </c>
      <c r="BI55">
        <v>-8.7851129999999999E-2</v>
      </c>
      <c r="BJ55">
        <v>-6.3656840000000004E-4</v>
      </c>
      <c r="BK55">
        <v>0.16679567000000001</v>
      </c>
      <c r="BL55">
        <v>7.5518390000000005E-2</v>
      </c>
      <c r="BM55">
        <v>-2.1317707000000002E-2</v>
      </c>
      <c r="BN55">
        <v>6.5321619999999997E-2</v>
      </c>
      <c r="BO55">
        <v>-0.40507062999999999</v>
      </c>
      <c r="BP55">
        <v>-3.4826282E-2</v>
      </c>
      <c r="BQ55">
        <v>-0.13457805</v>
      </c>
      <c r="BR55">
        <v>-0.45001405</v>
      </c>
      <c r="BS55">
        <v>-0.16364421000000001</v>
      </c>
      <c r="BT55">
        <v>-0.26172163999999998</v>
      </c>
      <c r="BU55">
        <v>-0.43052795999999999</v>
      </c>
      <c r="BV55">
        <v>-0.12860186000000001</v>
      </c>
      <c r="BW55">
        <v>-0.6230639</v>
      </c>
      <c r="BX55">
        <v>8.9163214000000005E-2</v>
      </c>
      <c r="BY55">
        <v>3.7986428000000003E-2</v>
      </c>
      <c r="BZ55">
        <v>9.8999790000000004E-2</v>
      </c>
      <c r="CA55">
        <v>-0.17495324000000001</v>
      </c>
      <c r="CB55">
        <v>0.116473615</v>
      </c>
      <c r="CC55">
        <v>-0.46536361999999998</v>
      </c>
      <c r="CD55">
        <v>0.15544768</v>
      </c>
      <c r="CE55">
        <v>0.20912364</v>
      </c>
      <c r="CF55">
        <v>-2.6773720000000001E-2</v>
      </c>
      <c r="CG55">
        <v>-5.3661349999999997E-2</v>
      </c>
      <c r="CH55">
        <v>-4.5907969999999999E-2</v>
      </c>
      <c r="CI55">
        <v>2.9541600000000001E-2</v>
      </c>
      <c r="CJ55">
        <v>0.15461816</v>
      </c>
      <c r="CK55">
        <v>0.19116494000000001</v>
      </c>
      <c r="CL55">
        <v>6.1298183999999999E-2</v>
      </c>
      <c r="CM55">
        <v>-1.6110038E-2</v>
      </c>
      <c r="CN55">
        <v>7.4443090000000003E-2</v>
      </c>
      <c r="CO55">
        <v>-8.6185659999999997E-2</v>
      </c>
      <c r="CP55">
        <v>0.13610537</v>
      </c>
      <c r="CQ55">
        <v>-3.3471335000000001E-3</v>
      </c>
      <c r="CR55">
        <v>-0.29823312000000002</v>
      </c>
      <c r="CS55">
        <v>0.31230190000000002</v>
      </c>
      <c r="CT55">
        <v>-3.3179328000000001E-2</v>
      </c>
      <c r="CU55">
        <v>-0.15420327</v>
      </c>
      <c r="CV55">
        <v>-0.16268650000000001</v>
      </c>
      <c r="CW55">
        <v>-3.4843671999999999E-2</v>
      </c>
      <c r="CX55">
        <v>-2.6248312999999999E-2</v>
      </c>
      <c r="CY55">
        <v>-0.11390615</v>
      </c>
      <c r="CZ55">
        <v>0.16438881999999999</v>
      </c>
      <c r="DA55">
        <v>-3.4233E-2</v>
      </c>
      <c r="DB55">
        <v>-0.37012980000000001</v>
      </c>
      <c r="DC55">
        <v>5.8722623000000002E-2</v>
      </c>
      <c r="DD55">
        <v>0.11027409000000001</v>
      </c>
      <c r="DE55">
        <v>-4.8987620000000003E-2</v>
      </c>
      <c r="DF55">
        <v>0.14214072</v>
      </c>
      <c r="DG55">
        <v>0.22464205000000001</v>
      </c>
      <c r="DH55">
        <v>0.25972857999999999</v>
      </c>
      <c r="DI55">
        <v>7.6205015000000001E-2</v>
      </c>
      <c r="DJ55">
        <v>0.35577091999999999</v>
      </c>
      <c r="DK55">
        <v>0.12677068999999999</v>
      </c>
      <c r="DL55">
        <v>-0.13520352999999999</v>
      </c>
      <c r="DM55">
        <v>0.27902680000000002</v>
      </c>
      <c r="DN55">
        <v>-0.12110404</v>
      </c>
      <c r="DO55">
        <v>-6.0987334999999997E-2</v>
      </c>
      <c r="DP55">
        <v>-0.15385151</v>
      </c>
      <c r="DQ55">
        <v>-8.2494330000000005E-2</v>
      </c>
      <c r="DR55">
        <v>-2.9487547000000002E-4</v>
      </c>
      <c r="DS55">
        <v>-0.11053983000000001</v>
      </c>
      <c r="DT55">
        <v>0.33747060000000001</v>
      </c>
      <c r="DU55">
        <v>5.3077819999999998E-2</v>
      </c>
      <c r="DV55">
        <v>-0.36217073</v>
      </c>
      <c r="DW55">
        <v>9.6870449999999997E-2</v>
      </c>
      <c r="DX55">
        <v>0.15890800999999999</v>
      </c>
      <c r="DY55">
        <v>-1.1561049E-2</v>
      </c>
      <c r="DZ55">
        <v>-0.75627920000000004</v>
      </c>
    </row>
    <row r="56" spans="1:130" x14ac:dyDescent="0.3">
      <c r="A56">
        <f>Board!$F$6</f>
        <v>0</v>
      </c>
      <c r="C56">
        <v>-0.1280897</v>
      </c>
      <c r="D56">
        <v>0.30534747000000001</v>
      </c>
      <c r="E56">
        <v>0.10954173</v>
      </c>
      <c r="F56">
        <v>5.2330226000000001E-2</v>
      </c>
      <c r="G56">
        <v>8.3156220000000003E-2</v>
      </c>
      <c r="H56">
        <v>0.15912535999999999</v>
      </c>
      <c r="I56">
        <v>8.1084244E-2</v>
      </c>
      <c r="J56">
        <v>-8.8494199999999995E-2</v>
      </c>
      <c r="K56">
        <v>5.5850881999999998E-2</v>
      </c>
      <c r="L56">
        <v>4.6757013E-2</v>
      </c>
      <c r="M56">
        <v>-8.2662020000000003E-2</v>
      </c>
      <c r="N56">
        <v>-0.25323316000000001</v>
      </c>
      <c r="O56">
        <v>-0.119613916</v>
      </c>
      <c r="P56">
        <v>0.13181963999999999</v>
      </c>
      <c r="Q56">
        <v>-0.37764713</v>
      </c>
      <c r="R56">
        <v>3.0145465999999999E-2</v>
      </c>
      <c r="S56">
        <v>0.27767354</v>
      </c>
      <c r="T56">
        <v>-4.3895794E-4</v>
      </c>
      <c r="U56">
        <v>0.11816533</v>
      </c>
      <c r="V56">
        <v>3.6925926999999997E-2</v>
      </c>
      <c r="W56">
        <v>-0.10283881</v>
      </c>
      <c r="X56">
        <v>0.13559099999999999</v>
      </c>
      <c r="Y56">
        <v>0.13827254</v>
      </c>
      <c r="Z56">
        <v>-1.8940192000000002E-2</v>
      </c>
      <c r="AA56">
        <v>-9.3153379999999994E-2</v>
      </c>
      <c r="AB56">
        <v>2.1186803000000001E-2</v>
      </c>
      <c r="AC56">
        <v>-0.18313386000000001</v>
      </c>
      <c r="AD56">
        <v>-3.1179584999999999E-2</v>
      </c>
      <c r="AE56">
        <v>-0.10310118</v>
      </c>
      <c r="AF56">
        <v>7.9461630000000005E-2</v>
      </c>
      <c r="AG56">
        <v>-4.3910959999999999E-2</v>
      </c>
      <c r="AH56">
        <v>0.20331076000000001</v>
      </c>
      <c r="AI56">
        <v>0.12334272</v>
      </c>
      <c r="AJ56">
        <v>-3.9857186000000003E-2</v>
      </c>
      <c r="AK56">
        <v>-0.10499611</v>
      </c>
      <c r="AL56">
        <v>4.0831020000000003E-2</v>
      </c>
      <c r="AM56">
        <v>0.16091171000000001</v>
      </c>
      <c r="AN56">
        <v>-8.7124854000000002E-2</v>
      </c>
      <c r="AO56">
        <v>3.8144999999999998E-2</v>
      </c>
      <c r="AP56">
        <v>-9.9206169999999996E-2</v>
      </c>
      <c r="AQ56">
        <v>4.6410590000000002E-2</v>
      </c>
      <c r="AR56">
        <v>0.20628352</v>
      </c>
      <c r="AS56">
        <v>-0.23955858999999999</v>
      </c>
      <c r="AT56">
        <v>-0.55642789999999998</v>
      </c>
      <c r="AU56">
        <v>0.11123493</v>
      </c>
      <c r="AV56">
        <v>-0.15714133999999999</v>
      </c>
      <c r="AW56">
        <v>2.645641E-2</v>
      </c>
      <c r="AX56">
        <v>6.0946136999999997E-2</v>
      </c>
      <c r="AY56">
        <v>2.4497272E-2</v>
      </c>
      <c r="AZ56">
        <v>4.9523443E-2</v>
      </c>
      <c r="BA56">
        <v>3.4853935000000003E-2</v>
      </c>
      <c r="BB56">
        <v>9.2012399999999994E-2</v>
      </c>
      <c r="BC56">
        <v>6.3797300000000001E-2</v>
      </c>
      <c r="BD56">
        <v>-9.0400636000000006E-2</v>
      </c>
      <c r="BE56">
        <v>-7.0222359999999998E-2</v>
      </c>
      <c r="BF56">
        <v>4.7637331999999998E-2</v>
      </c>
      <c r="BG56">
        <v>6.5957740000000001E-2</v>
      </c>
      <c r="BH56">
        <v>8.8597596000000001E-2</v>
      </c>
      <c r="BI56">
        <v>-0.30299451999999999</v>
      </c>
      <c r="BJ56">
        <v>5.1015154E-2</v>
      </c>
      <c r="BK56">
        <v>6.8500119999999998E-2</v>
      </c>
      <c r="BL56">
        <v>-0.17502709</v>
      </c>
      <c r="BM56">
        <v>0.17163700000000001</v>
      </c>
      <c r="BN56">
        <v>7.5950690000000001E-2</v>
      </c>
      <c r="BO56">
        <v>-0.30126955999999999</v>
      </c>
      <c r="BP56">
        <v>7.6941079999999995E-2</v>
      </c>
      <c r="BQ56">
        <v>-5.7393406000000001E-2</v>
      </c>
      <c r="BR56">
        <v>-5.8167866999999998E-2</v>
      </c>
      <c r="BS56">
        <v>2.5751295E-2</v>
      </c>
      <c r="BT56">
        <v>-0.23843560999999999</v>
      </c>
      <c r="BU56">
        <v>-3.3913503999999997E-2</v>
      </c>
      <c r="BV56">
        <v>-1.9235589000000001E-2</v>
      </c>
      <c r="BW56">
        <v>-0.55824404999999999</v>
      </c>
      <c r="BX56">
        <v>-2.9362472000000001E-2</v>
      </c>
      <c r="BY56">
        <v>0.2202944</v>
      </c>
      <c r="BZ56">
        <v>-6.3670063000000002E-3</v>
      </c>
      <c r="CA56">
        <v>-8.8627750000000005E-2</v>
      </c>
      <c r="CB56">
        <v>9.7291610000000001E-2</v>
      </c>
      <c r="CC56">
        <v>-0.26456982000000001</v>
      </c>
      <c r="CD56">
        <v>-0.10763776</v>
      </c>
      <c r="CE56">
        <v>-0.1618212</v>
      </c>
      <c r="CF56">
        <v>8.925669E-2</v>
      </c>
      <c r="CG56">
        <v>-0.14569671000000001</v>
      </c>
      <c r="CH56">
        <v>0.2582913</v>
      </c>
      <c r="CI56">
        <v>0.19377936000000001</v>
      </c>
      <c r="CJ56">
        <v>-0.11069882</v>
      </c>
      <c r="CK56">
        <v>-5.0457567000000002E-2</v>
      </c>
      <c r="CL56">
        <v>0.21073683000000001</v>
      </c>
      <c r="CM56">
        <v>0.12673013</v>
      </c>
      <c r="CN56">
        <v>0.2601485</v>
      </c>
      <c r="CO56">
        <v>5.8754979999999998E-3</v>
      </c>
      <c r="CP56">
        <v>0.10649883</v>
      </c>
      <c r="CQ56">
        <v>-4.1178979999999997E-2</v>
      </c>
      <c r="CR56">
        <v>-2.0152586E-2</v>
      </c>
      <c r="CS56">
        <v>0.39661204999999999</v>
      </c>
      <c r="CT56">
        <v>-4.3799419999999999E-2</v>
      </c>
      <c r="CU56">
        <v>-0.13597606000000001</v>
      </c>
      <c r="CV56">
        <v>7.4798589999999998E-2</v>
      </c>
      <c r="CW56">
        <v>0.12866232999999999</v>
      </c>
      <c r="CX56">
        <v>4.3947444999999996E-3</v>
      </c>
      <c r="CY56">
        <v>0.12321346</v>
      </c>
      <c r="CZ56">
        <v>0.10013697000000001</v>
      </c>
      <c r="DA56">
        <v>3.4619181999999998E-2</v>
      </c>
      <c r="DB56">
        <v>-0.50171239999999995</v>
      </c>
      <c r="DC56">
        <v>-6.749078E-2</v>
      </c>
      <c r="DD56">
        <v>1.5965478000000002E-2</v>
      </c>
      <c r="DE56">
        <v>-0.18106669</v>
      </c>
      <c r="DF56">
        <v>0.52855753999999999</v>
      </c>
      <c r="DG56">
        <v>0.14050724000000001</v>
      </c>
      <c r="DH56">
        <v>0.17773847000000001</v>
      </c>
      <c r="DI56">
        <v>-2.9554436E-2</v>
      </c>
      <c r="DJ56">
        <v>1.6617562999999998E-2</v>
      </c>
      <c r="DK56">
        <v>7.6575450000000003E-2</v>
      </c>
      <c r="DL56">
        <v>-9.5751345000000002E-2</v>
      </c>
      <c r="DM56">
        <v>4.0685199999999998E-2</v>
      </c>
      <c r="DN56">
        <v>-0.22840010999999999</v>
      </c>
      <c r="DO56">
        <v>2.8714674999999999E-2</v>
      </c>
      <c r="DP56">
        <v>0.10580104</v>
      </c>
      <c r="DQ56">
        <v>-0.17269933000000001</v>
      </c>
      <c r="DR56">
        <v>0.117727235</v>
      </c>
      <c r="DS56">
        <v>-0.24448875</v>
      </c>
      <c r="DT56">
        <v>0.18557434</v>
      </c>
      <c r="DU56">
        <v>-4.3048304000000003E-2</v>
      </c>
      <c r="DV56">
        <v>-0.15041375000000001</v>
      </c>
      <c r="DW56">
        <v>6.027863E-2</v>
      </c>
      <c r="DX56">
        <v>-3.9439764000000002E-2</v>
      </c>
      <c r="DY56">
        <v>0.21000363</v>
      </c>
      <c r="DZ56">
        <v>-0.34196295999999998</v>
      </c>
    </row>
    <row r="57" spans="1:130" x14ac:dyDescent="0.3">
      <c r="A57">
        <f>Board!$G$6</f>
        <v>0</v>
      </c>
      <c r="C57">
        <v>-0.12714101</v>
      </c>
      <c r="D57">
        <v>0.20730161999999999</v>
      </c>
      <c r="E57">
        <v>-1.0669115E-2</v>
      </c>
      <c r="F57">
        <v>-0.30696820000000002</v>
      </c>
      <c r="G57">
        <v>0.19116710000000001</v>
      </c>
      <c r="H57">
        <v>1.5320510000000001E-2</v>
      </c>
      <c r="I57">
        <v>-0.107684895</v>
      </c>
      <c r="J57">
        <v>0.10252807</v>
      </c>
      <c r="K57">
        <v>0.15849824000000001</v>
      </c>
      <c r="L57">
        <v>2.7858878E-2</v>
      </c>
      <c r="M57">
        <v>-0.14540705000000001</v>
      </c>
      <c r="N57">
        <v>-0.34769480000000003</v>
      </c>
      <c r="O57">
        <v>-0.29446450000000002</v>
      </c>
      <c r="P57">
        <v>0.2284455</v>
      </c>
      <c r="Q57">
        <v>-0.62013969999999996</v>
      </c>
      <c r="R57">
        <v>-0.13270852999999999</v>
      </c>
      <c r="S57">
        <v>-0.20265237999999999</v>
      </c>
      <c r="T57">
        <v>0.11344311</v>
      </c>
      <c r="U57">
        <v>0.10803933</v>
      </c>
      <c r="V57">
        <v>3.8586694999999997E-2</v>
      </c>
      <c r="W57">
        <v>-0.13842803000000001</v>
      </c>
      <c r="X57">
        <v>7.3403200000000002E-2</v>
      </c>
      <c r="Y57">
        <v>-0.41411894999999999</v>
      </c>
      <c r="Z57">
        <v>-0.20262226</v>
      </c>
      <c r="AA57">
        <v>-0.15808759999999999</v>
      </c>
      <c r="AB57">
        <v>0.12329102</v>
      </c>
      <c r="AC57">
        <v>-0.15646631999999999</v>
      </c>
      <c r="AD57">
        <v>-0.32493103000000001</v>
      </c>
      <c r="AE57">
        <v>0.11993547</v>
      </c>
      <c r="AF57">
        <v>-3.3306092000000002E-2</v>
      </c>
      <c r="AG57">
        <v>0.15407367</v>
      </c>
      <c r="AH57">
        <v>2.1723194000000001E-2</v>
      </c>
      <c r="AI57">
        <v>8.4424799999999994E-2</v>
      </c>
      <c r="AJ57">
        <v>-0.16600822000000001</v>
      </c>
      <c r="AK57">
        <v>6.4339876000000004E-2</v>
      </c>
      <c r="AL57">
        <v>0.107597895</v>
      </c>
      <c r="AM57">
        <v>-0.33931230000000001</v>
      </c>
      <c r="AN57">
        <v>-8.6417450000000007E-2</v>
      </c>
      <c r="AO57">
        <v>-0.16103216000000001</v>
      </c>
      <c r="AP57">
        <v>0.22600196</v>
      </c>
      <c r="AQ57">
        <v>-8.3230600000000002E-2</v>
      </c>
      <c r="AR57">
        <v>0.24109620000000001</v>
      </c>
      <c r="AS57">
        <v>0.14801252000000001</v>
      </c>
      <c r="AT57">
        <v>-0.26123473000000003</v>
      </c>
      <c r="AU57">
        <v>-1.2994348E-3</v>
      </c>
      <c r="AV57">
        <v>-0.18664148</v>
      </c>
      <c r="AW57">
        <v>0.33072436</v>
      </c>
      <c r="AX57">
        <v>0.23512079</v>
      </c>
      <c r="AY57">
        <v>4.5147777E-2</v>
      </c>
      <c r="AZ57">
        <v>-0.15348049</v>
      </c>
      <c r="BA57">
        <v>9.1203859999999994E-3</v>
      </c>
      <c r="BB57">
        <v>0.17592984</v>
      </c>
      <c r="BC57">
        <v>4.1414079999999999E-2</v>
      </c>
      <c r="BD57">
        <v>0.19067334</v>
      </c>
      <c r="BE57">
        <v>-0.44769266000000002</v>
      </c>
      <c r="BF57">
        <v>-0.39199334000000002</v>
      </c>
      <c r="BG57">
        <v>-5.4855835999999998E-3</v>
      </c>
      <c r="BH57">
        <v>-0.18331001999999999</v>
      </c>
      <c r="BI57">
        <v>-0.28856749999999998</v>
      </c>
      <c r="BJ57">
        <v>0.12804103</v>
      </c>
      <c r="BK57">
        <v>8.7323986000000006E-2</v>
      </c>
      <c r="BL57">
        <v>-0.12801852999999999</v>
      </c>
      <c r="BM57">
        <v>0.25114077000000001</v>
      </c>
      <c r="BN57">
        <v>-0.21792903999999999</v>
      </c>
      <c r="BO57">
        <v>-0.38804080000000002</v>
      </c>
      <c r="BP57">
        <v>9.5639236000000002E-2</v>
      </c>
      <c r="BQ57">
        <v>8.0402459999999995E-2</v>
      </c>
      <c r="BR57">
        <v>0.37570756999999999</v>
      </c>
      <c r="BS57">
        <v>0.29200324</v>
      </c>
      <c r="BT57">
        <v>-5.6478335999999997E-2</v>
      </c>
      <c r="BU57">
        <v>0.23977013</v>
      </c>
      <c r="BV57">
        <v>0.35593565999999999</v>
      </c>
      <c r="BW57">
        <v>-9.4127730000000007E-2</v>
      </c>
      <c r="BX57">
        <v>3.6255309999999999E-2</v>
      </c>
      <c r="BY57">
        <v>-0.15094732999999999</v>
      </c>
      <c r="BZ57">
        <v>-0.24277293999999999</v>
      </c>
      <c r="CA57">
        <v>-8.1434909999999999E-2</v>
      </c>
      <c r="CB57">
        <v>0.14365027999999999</v>
      </c>
      <c r="CC57">
        <v>8.1388004E-2</v>
      </c>
      <c r="CD57">
        <v>-7.8737459999999995E-2</v>
      </c>
      <c r="CE57">
        <v>-0.46760276000000001</v>
      </c>
      <c r="CF57">
        <v>2.5442381999999999E-2</v>
      </c>
      <c r="CG57">
        <v>5.2550136999999997E-2</v>
      </c>
      <c r="CH57">
        <v>0.23062563999999999</v>
      </c>
      <c r="CI57">
        <v>6.2869019999999998E-2</v>
      </c>
      <c r="CJ57">
        <v>-0.14024691</v>
      </c>
      <c r="CK57">
        <v>8.0325579999999994E-2</v>
      </c>
      <c r="CL57">
        <v>9.0947630000000002E-2</v>
      </c>
      <c r="CM57">
        <v>0.1246472</v>
      </c>
      <c r="CN57">
        <v>0.20812823</v>
      </c>
      <c r="CO57">
        <v>7.1168899999999993E-2</v>
      </c>
      <c r="CP57">
        <v>4.3540652999999999E-2</v>
      </c>
      <c r="CQ57">
        <v>3.9579924000000002E-2</v>
      </c>
      <c r="CR57">
        <v>6.5142855E-2</v>
      </c>
      <c r="CS57">
        <v>0.62847489999999995</v>
      </c>
      <c r="CT57">
        <v>0.12494537999999999</v>
      </c>
      <c r="CU57">
        <v>0.14756574</v>
      </c>
      <c r="CV57">
        <v>-8.9646359999999994E-2</v>
      </c>
      <c r="CW57">
        <v>6.3863989999999995E-2</v>
      </c>
      <c r="CX57">
        <v>-1.9042801000000002E-2</v>
      </c>
      <c r="CY57">
        <v>-4.1250466999999999E-2</v>
      </c>
      <c r="CZ57">
        <v>9.6366190000000008E-3</v>
      </c>
      <c r="DA57">
        <v>6.6675514000000005E-2</v>
      </c>
      <c r="DB57">
        <v>-0.60100960000000003</v>
      </c>
      <c r="DC57">
        <v>-1.1960027999999999E-2</v>
      </c>
      <c r="DD57">
        <v>6.3718209999999997E-3</v>
      </c>
      <c r="DE57">
        <v>-3.8977787E-2</v>
      </c>
      <c r="DF57">
        <v>-0.20250942</v>
      </c>
      <c r="DG57">
        <v>0.19481575000000001</v>
      </c>
      <c r="DH57">
        <v>-0.43347898000000001</v>
      </c>
      <c r="DI57">
        <v>7.891782E-2</v>
      </c>
      <c r="DJ57">
        <v>2.7635934000000001E-2</v>
      </c>
      <c r="DK57">
        <v>3.4714929999999998E-2</v>
      </c>
      <c r="DL57">
        <v>-4.7532886000000003E-2</v>
      </c>
      <c r="DM57">
        <v>-0.30425935999999998</v>
      </c>
      <c r="DN57">
        <v>-0.31965145</v>
      </c>
      <c r="DO57">
        <v>5.6340913999999999E-2</v>
      </c>
      <c r="DP57">
        <v>9.724702E-3</v>
      </c>
      <c r="DQ57">
        <v>3.6641482000000003E-2</v>
      </c>
      <c r="DR57">
        <v>1.2234016E-2</v>
      </c>
      <c r="DS57">
        <v>-0.45768530000000002</v>
      </c>
      <c r="DT57">
        <v>-0.14282370999999999</v>
      </c>
      <c r="DU57">
        <v>8.5732810000000007E-2</v>
      </c>
      <c r="DV57">
        <v>0.27226117</v>
      </c>
      <c r="DW57">
        <v>-0.13715390999999999</v>
      </c>
      <c r="DX57">
        <v>-0.40943527000000002</v>
      </c>
      <c r="DY57">
        <v>0.17433302000000001</v>
      </c>
      <c r="DZ57">
        <v>0.11330189</v>
      </c>
    </row>
    <row r="58" spans="1:130" x14ac:dyDescent="0.3">
      <c r="A58">
        <f>Board!$H$6</f>
        <v>1</v>
      </c>
      <c r="C58">
        <v>-0.15673082999999999</v>
      </c>
      <c r="D58">
        <v>-1.1565706E-2</v>
      </c>
      <c r="E58">
        <v>-0.2212837</v>
      </c>
      <c r="F58">
        <v>7.0616650000000003E-2</v>
      </c>
      <c r="G58">
        <v>-0.14785097999999999</v>
      </c>
      <c r="H58">
        <v>0.1435921</v>
      </c>
      <c r="I58">
        <v>4.6664808000000002E-2</v>
      </c>
      <c r="J58">
        <v>8.3637639999999999E-2</v>
      </c>
      <c r="K58">
        <v>9.7975329999999999E-2</v>
      </c>
      <c r="L58">
        <v>-0.18361010999999999</v>
      </c>
      <c r="M58">
        <v>-0.54916679999999995</v>
      </c>
      <c r="N58">
        <v>0.29552338</v>
      </c>
      <c r="O58">
        <v>7.8846520000000003E-2</v>
      </c>
      <c r="P58">
        <v>0.16166480999999999</v>
      </c>
      <c r="Q58">
        <v>-0.12470932999999999</v>
      </c>
      <c r="R58">
        <v>-7.9772220000000005E-2</v>
      </c>
      <c r="S58">
        <v>-8.5130220000000006E-2</v>
      </c>
      <c r="T58">
        <v>-6.3162289999999996E-2</v>
      </c>
      <c r="U58">
        <v>-0.30195402999999998</v>
      </c>
      <c r="V58">
        <v>0.24191102</v>
      </c>
      <c r="W58">
        <v>-0.17769735</v>
      </c>
      <c r="X58">
        <v>-9.1205320000000006E-2</v>
      </c>
      <c r="Y58">
        <v>-2.0552675999999999E-2</v>
      </c>
      <c r="Z58">
        <v>3.6074786999999997E-2</v>
      </c>
      <c r="AA58">
        <v>-0.16038598000000001</v>
      </c>
      <c r="AB58">
        <v>-4.3782330000000001E-2</v>
      </c>
      <c r="AC58">
        <v>1.975696E-2</v>
      </c>
      <c r="AD58">
        <v>-6.7191979999999998E-2</v>
      </c>
      <c r="AE58">
        <v>-0.16060293</v>
      </c>
      <c r="AF58">
        <v>6.4710416000000007E-2</v>
      </c>
      <c r="AG58">
        <v>8.4175710000000001E-2</v>
      </c>
      <c r="AH58">
        <v>-3.951151E-2</v>
      </c>
      <c r="AI58">
        <v>-8.161032E-2</v>
      </c>
      <c r="AJ58">
        <v>-0.12538989</v>
      </c>
      <c r="AK58">
        <v>-0.15469248999999999</v>
      </c>
      <c r="AL58">
        <v>7.9529590000000008E-3</v>
      </c>
      <c r="AM58">
        <v>-4.4324517000000001E-2</v>
      </c>
      <c r="AN58">
        <v>7.3370500000000005E-2</v>
      </c>
      <c r="AO58">
        <v>-0.13804064999999999</v>
      </c>
      <c r="AP58">
        <v>0.40716487000000001</v>
      </c>
      <c r="AQ58">
        <v>7.1738979999999994E-2</v>
      </c>
      <c r="AR58">
        <v>4.7245490000000001E-2</v>
      </c>
      <c r="AS58">
        <v>6.1670452000000001E-2</v>
      </c>
      <c r="AT58">
        <v>0.39874807000000001</v>
      </c>
      <c r="AU58">
        <v>-0.17239687000000001</v>
      </c>
      <c r="AV58">
        <v>0.16787796999999999</v>
      </c>
      <c r="AW58">
        <v>0.40158929999999998</v>
      </c>
      <c r="AX58">
        <v>-0.15373518</v>
      </c>
      <c r="AY58">
        <v>7.7172770000000002E-2</v>
      </c>
      <c r="AZ58">
        <v>-0.13629448</v>
      </c>
      <c r="BA58">
        <v>-0.12667169</v>
      </c>
      <c r="BB58">
        <v>0.37295200000000001</v>
      </c>
      <c r="BC58">
        <v>-6.9003366000000002E-3</v>
      </c>
      <c r="BD58">
        <v>-0.17296629999999999</v>
      </c>
      <c r="BE58">
        <v>0.31568444000000001</v>
      </c>
      <c r="BF58">
        <v>-0.110302925</v>
      </c>
      <c r="BG58">
        <v>5.6757650000000002E-3</v>
      </c>
      <c r="BH58">
        <v>-0.15247152999999999</v>
      </c>
      <c r="BI58">
        <v>1.9731661000000001E-2</v>
      </c>
      <c r="BJ58">
        <v>0.27098462000000001</v>
      </c>
      <c r="BK58">
        <v>-1.448695E-2</v>
      </c>
      <c r="BL58">
        <v>-0.28396009999999999</v>
      </c>
      <c r="BM58">
        <v>-0.17312954</v>
      </c>
      <c r="BN58">
        <v>7.2664030000000004E-2</v>
      </c>
      <c r="BO58">
        <v>-2.1989097999999999E-2</v>
      </c>
      <c r="BP58">
        <v>0.11480569</v>
      </c>
      <c r="BQ58">
        <v>-5.225308E-2</v>
      </c>
      <c r="BR58">
        <v>0.29430856999999999</v>
      </c>
      <c r="BS58">
        <v>-0.15306574000000001</v>
      </c>
      <c r="BT58">
        <v>0.22158786999999999</v>
      </c>
      <c r="BU58">
        <v>8.5189670000000006E-3</v>
      </c>
      <c r="BV58">
        <v>0.12995838000000001</v>
      </c>
      <c r="BW58">
        <v>0.33501642999999998</v>
      </c>
      <c r="BX58">
        <v>-0.15924405</v>
      </c>
      <c r="BY58">
        <v>-0.21474536999999999</v>
      </c>
      <c r="BZ58">
        <v>-2.4931538999999999E-2</v>
      </c>
      <c r="CA58">
        <v>-0.12730166000000001</v>
      </c>
      <c r="CB58">
        <v>-6.5090110000000007E-2</v>
      </c>
      <c r="CC58">
        <v>4.8872569999999997E-2</v>
      </c>
      <c r="CD58">
        <v>-5.4939236000000002E-2</v>
      </c>
      <c r="CE58">
        <v>0.10704268</v>
      </c>
      <c r="CF58">
        <v>-0.14854500000000001</v>
      </c>
      <c r="CG58">
        <v>7.7464149999999996E-2</v>
      </c>
      <c r="CH58">
        <v>-0.18245164</v>
      </c>
      <c r="CI58">
        <v>3.6320034000000001E-2</v>
      </c>
      <c r="CJ58">
        <v>0.14621624</v>
      </c>
      <c r="CK58">
        <v>0.21350126</v>
      </c>
      <c r="CL58">
        <v>7.6545425E-2</v>
      </c>
      <c r="CM58">
        <v>0.17735113</v>
      </c>
      <c r="CN58">
        <v>-0.11507194499999999</v>
      </c>
      <c r="CO58">
        <v>-0.59891426999999997</v>
      </c>
      <c r="CP58">
        <v>-0.114548996</v>
      </c>
      <c r="CQ58">
        <v>-0.26926294000000001</v>
      </c>
      <c r="CR58">
        <v>0.35218855999999998</v>
      </c>
      <c r="CS58">
        <v>0.36154534999999999</v>
      </c>
      <c r="CT58">
        <v>-3.3084123999999999E-2</v>
      </c>
      <c r="CU58">
        <v>0.21237180999999999</v>
      </c>
      <c r="CV58">
        <v>-0.31456171999999999</v>
      </c>
      <c r="CW58">
        <v>-0.28801808000000001</v>
      </c>
      <c r="CX58">
        <v>-4.8749662999999999E-2</v>
      </c>
      <c r="CY58">
        <v>-0.19915202000000001</v>
      </c>
      <c r="CZ58">
        <v>0.19344807</v>
      </c>
      <c r="DA58">
        <v>-5.4981719999999998E-2</v>
      </c>
      <c r="DB58">
        <v>-0.15001534999999999</v>
      </c>
      <c r="DC58">
        <v>-0.18243596000000001</v>
      </c>
      <c r="DD58">
        <v>-0.28283039999999998</v>
      </c>
      <c r="DE58">
        <v>-0.17580167999999999</v>
      </c>
      <c r="DF58">
        <v>-0.34101614000000002</v>
      </c>
      <c r="DG58">
        <v>0.37231540000000002</v>
      </c>
      <c r="DH58">
        <v>-3.8333510000000001E-2</v>
      </c>
      <c r="DI58">
        <v>3.1086737E-2</v>
      </c>
      <c r="DJ58">
        <v>-7.0600289999999996E-2</v>
      </c>
      <c r="DK58">
        <v>0.16921157000000001</v>
      </c>
      <c r="DL58">
        <v>-0.43731573000000001</v>
      </c>
      <c r="DM58">
        <v>-0.27959967000000002</v>
      </c>
      <c r="DN58">
        <v>0.26684020000000003</v>
      </c>
      <c r="DO58">
        <v>-2.2269435000000001E-2</v>
      </c>
      <c r="DP58">
        <v>-0.45361491999999998</v>
      </c>
      <c r="DQ58">
        <v>6.7897159999999998E-2</v>
      </c>
      <c r="DR58">
        <v>-0.28356429999999999</v>
      </c>
      <c r="DS58">
        <v>-0.55425199999999997</v>
      </c>
      <c r="DT58">
        <v>0.15503745999999999</v>
      </c>
      <c r="DU58">
        <v>0.17051938</v>
      </c>
      <c r="DV58">
        <v>0.13800097</v>
      </c>
      <c r="DW58">
        <v>-0.12067377999999999</v>
      </c>
      <c r="DX58">
        <v>1.5123312E-2</v>
      </c>
      <c r="DY58">
        <v>6.2015220000000003E-2</v>
      </c>
      <c r="DZ58">
        <v>0.46431403999999998</v>
      </c>
    </row>
    <row r="59" spans="1:130" x14ac:dyDescent="0.3">
      <c r="A59">
        <f>Board!$I$6</f>
        <v>0</v>
      </c>
      <c r="C59">
        <v>0.22956127000000001</v>
      </c>
      <c r="D59">
        <v>-6.1503198000000002E-2</v>
      </c>
      <c r="E59">
        <v>-0.18170135000000001</v>
      </c>
      <c r="F59">
        <v>9.6260870000000002E-3</v>
      </c>
      <c r="G59">
        <v>-0.34888960000000002</v>
      </c>
      <c r="H59">
        <v>-0.1901851</v>
      </c>
      <c r="I59">
        <v>-2.3954079999999999E-2</v>
      </c>
      <c r="J59">
        <v>-0.1828186</v>
      </c>
      <c r="K59">
        <v>6.1489806000000001E-2</v>
      </c>
      <c r="L59">
        <v>-4.9104250000000002E-2</v>
      </c>
      <c r="M59">
        <v>-0.66356546000000005</v>
      </c>
      <c r="N59">
        <v>0.12160852</v>
      </c>
      <c r="O59">
        <v>8.7091655000000004E-2</v>
      </c>
      <c r="P59">
        <v>2.1072377999999999E-2</v>
      </c>
      <c r="Q59">
        <v>2.7480015999999999E-2</v>
      </c>
      <c r="R59">
        <v>-0.16534199999999999</v>
      </c>
      <c r="S59">
        <v>-6.1083250000000004E-3</v>
      </c>
      <c r="T59">
        <v>-0.13890983000000001</v>
      </c>
      <c r="U59">
        <v>-0.28482976999999998</v>
      </c>
      <c r="V59">
        <v>2.5982775E-2</v>
      </c>
      <c r="W59">
        <v>-3.0404871E-2</v>
      </c>
      <c r="X59">
        <v>-9.7968440000000004E-2</v>
      </c>
      <c r="Y59">
        <v>0.33222887000000001</v>
      </c>
      <c r="Z59">
        <v>-3.1280227000000001E-2</v>
      </c>
      <c r="AA59">
        <v>-0.38146168000000003</v>
      </c>
      <c r="AB59">
        <v>-3.9785143000000002E-2</v>
      </c>
      <c r="AC59">
        <v>0.20123830000000001</v>
      </c>
      <c r="AD59">
        <v>-0.12666842</v>
      </c>
      <c r="AE59">
        <v>0.11996515000000001</v>
      </c>
      <c r="AF59">
        <v>4.8182792999999996E-3</v>
      </c>
      <c r="AG59">
        <v>0.10268793</v>
      </c>
      <c r="AH59">
        <v>-0.23585105000000001</v>
      </c>
      <c r="AI59">
        <v>-7.5895264999999998E-3</v>
      </c>
      <c r="AJ59">
        <v>0.14407890000000001</v>
      </c>
      <c r="AK59">
        <v>2.6894637999999998E-2</v>
      </c>
      <c r="AL59">
        <v>-0.16448278999999999</v>
      </c>
      <c r="AM59">
        <v>0.35993594000000001</v>
      </c>
      <c r="AN59">
        <v>-2.7307713000000001E-2</v>
      </c>
      <c r="AO59">
        <v>-2.6527628000000001E-2</v>
      </c>
      <c r="AP59">
        <v>0.47261712</v>
      </c>
      <c r="AQ59">
        <v>0.14341311000000001</v>
      </c>
      <c r="AR59">
        <v>0.26970494</v>
      </c>
      <c r="AS59">
        <v>-9.3114829999999996E-2</v>
      </c>
      <c r="AT59">
        <v>0.34230316</v>
      </c>
      <c r="AU59">
        <v>0.114903614</v>
      </c>
      <c r="AV59">
        <v>0.26011250000000002</v>
      </c>
      <c r="AW59">
        <v>0.34943494000000003</v>
      </c>
      <c r="AX59">
        <v>-0.16140456</v>
      </c>
      <c r="AY59">
        <v>-1.8580032999999999E-2</v>
      </c>
      <c r="AZ59">
        <v>0.19664182999999999</v>
      </c>
      <c r="BA59">
        <v>7.4067629999999995E-2</v>
      </c>
      <c r="BB59">
        <v>0.34991290000000003</v>
      </c>
      <c r="BC59">
        <v>3.2923824999999997E-2</v>
      </c>
      <c r="BD59">
        <v>-3.3780980000000002E-2</v>
      </c>
      <c r="BE59">
        <v>0.32871679999999998</v>
      </c>
      <c r="BF59">
        <v>0.12830536000000001</v>
      </c>
      <c r="BG59">
        <v>0.16405304000000001</v>
      </c>
      <c r="BH59">
        <v>-0.16075365</v>
      </c>
      <c r="BI59">
        <v>0.2204663</v>
      </c>
      <c r="BJ59">
        <v>0.51661170000000001</v>
      </c>
      <c r="BK59">
        <v>-3.0578346999999999E-2</v>
      </c>
      <c r="BL59">
        <v>-4.6810307000000002E-2</v>
      </c>
      <c r="BM59">
        <v>-2.1866445999999999E-3</v>
      </c>
      <c r="BN59">
        <v>-0.22356111000000001</v>
      </c>
      <c r="BO59">
        <v>-9.2664609999999994E-2</v>
      </c>
      <c r="BP59">
        <v>0.15217942000000001</v>
      </c>
      <c r="BQ59">
        <v>-8.0916909999999995E-2</v>
      </c>
      <c r="BR59">
        <v>6.0357157000000002E-2</v>
      </c>
      <c r="BS59">
        <v>-2.9451250000000002E-2</v>
      </c>
      <c r="BT59">
        <v>7.5049420000000006E-2</v>
      </c>
      <c r="BU59">
        <v>-0.39383116000000001</v>
      </c>
      <c r="BV59">
        <v>-0.21993433000000001</v>
      </c>
      <c r="BW59">
        <v>-5.3029726999999999E-2</v>
      </c>
      <c r="BX59">
        <v>-0.16702520000000001</v>
      </c>
      <c r="BY59">
        <v>-0.14072962</v>
      </c>
      <c r="BZ59">
        <v>0.37923434</v>
      </c>
      <c r="CA59">
        <v>-5.2708643999999999E-2</v>
      </c>
      <c r="CB59">
        <v>-0.12261859999999999</v>
      </c>
      <c r="CC59">
        <v>-0.15123308999999999</v>
      </c>
      <c r="CD59">
        <v>-0.26854610000000001</v>
      </c>
      <c r="CE59">
        <v>5.2656673000000001E-2</v>
      </c>
      <c r="CF59">
        <v>7.1976020000000002E-2</v>
      </c>
      <c r="CG59">
        <v>-1.1011668E-2</v>
      </c>
      <c r="CH59">
        <v>0.21461058999999999</v>
      </c>
      <c r="CI59">
        <v>4.1373709999999999E-3</v>
      </c>
      <c r="CJ59">
        <v>0.115453705</v>
      </c>
      <c r="CK59">
        <v>1.5086561E-2</v>
      </c>
      <c r="CL59">
        <v>-0.12513295999999999</v>
      </c>
      <c r="CM59">
        <v>6.3052449999999996E-2</v>
      </c>
      <c r="CN59">
        <v>-4.4617336E-2</v>
      </c>
      <c r="CO59">
        <v>3.6699629999999997E-2</v>
      </c>
      <c r="CP59">
        <v>-0.25388578000000001</v>
      </c>
      <c r="CQ59">
        <v>-0.11485892</v>
      </c>
      <c r="CR59">
        <v>0.23012674</v>
      </c>
      <c r="CS59">
        <v>0.11811973000000001</v>
      </c>
      <c r="CT59">
        <v>-3.4033309999999997E-2</v>
      </c>
      <c r="CU59">
        <v>0.16602320000000001</v>
      </c>
      <c r="CV59">
        <v>-0.59200680000000006</v>
      </c>
      <c r="CW59">
        <v>-0.27107793000000002</v>
      </c>
      <c r="CX59">
        <v>4.3704033000000003E-2</v>
      </c>
      <c r="CY59">
        <v>-4.9664899999999996E-3</v>
      </c>
      <c r="CZ59">
        <v>6.1761103999999997E-2</v>
      </c>
      <c r="DA59">
        <v>-0.14030516000000001</v>
      </c>
      <c r="DB59">
        <v>0.12526656999999999</v>
      </c>
      <c r="DC59">
        <v>-0.39369658000000002</v>
      </c>
      <c r="DD59">
        <v>-0.30253258</v>
      </c>
      <c r="DE59">
        <v>-0.16357647</v>
      </c>
      <c r="DF59">
        <v>0.10102873</v>
      </c>
      <c r="DG59">
        <v>2.2391868999999998E-2</v>
      </c>
      <c r="DH59">
        <v>-0.16282653999999999</v>
      </c>
      <c r="DI59">
        <v>-5.8266419999999999E-2</v>
      </c>
      <c r="DJ59">
        <v>0.1450129</v>
      </c>
      <c r="DK59">
        <v>4.7654139999999998E-2</v>
      </c>
      <c r="DL59">
        <v>-0.68092019999999998</v>
      </c>
      <c r="DM59">
        <v>-0.19376452</v>
      </c>
      <c r="DN59">
        <v>5.0146740000000002E-2</v>
      </c>
      <c r="DO59">
        <v>-0.1654157</v>
      </c>
      <c r="DP59">
        <v>7.625295E-2</v>
      </c>
      <c r="DQ59">
        <v>0.15333916</v>
      </c>
      <c r="DR59">
        <v>5.9633337000000002E-2</v>
      </c>
      <c r="DS59">
        <v>0.31445292000000002</v>
      </c>
      <c r="DT59">
        <v>-2.3867637000000001E-2</v>
      </c>
      <c r="DU59">
        <v>-2.7626857000000001E-2</v>
      </c>
      <c r="DV59">
        <v>9.1625869999999998E-2</v>
      </c>
      <c r="DW59">
        <v>-2.2075316000000001E-2</v>
      </c>
      <c r="DX59">
        <v>-4.1911273999999998E-2</v>
      </c>
      <c r="DY59">
        <v>8.4604380000000007E-2</v>
      </c>
      <c r="DZ59">
        <v>0.12636897999999999</v>
      </c>
    </row>
    <row r="60" spans="1:130" x14ac:dyDescent="0.3">
      <c r="A60">
        <f>Board!$J$6</f>
        <v>0</v>
      </c>
      <c r="C60">
        <v>8.4559419999999996E-2</v>
      </c>
      <c r="D60">
        <v>0.11351890000000001</v>
      </c>
      <c r="E60">
        <v>0.14321133</v>
      </c>
      <c r="F60">
        <v>7.64711E-2</v>
      </c>
      <c r="G60">
        <v>-0.38142686999999997</v>
      </c>
      <c r="H60">
        <v>-4.8746459999999998E-2</v>
      </c>
      <c r="I60">
        <v>9.2340119999999998E-2</v>
      </c>
      <c r="J60">
        <v>-0.15724884</v>
      </c>
      <c r="K60">
        <v>8.5772235999999997E-4</v>
      </c>
      <c r="L60">
        <v>-8.5082490000000001E-4</v>
      </c>
      <c r="M60">
        <v>-0.63617630000000003</v>
      </c>
      <c r="N60">
        <v>-6.1517240000000001E-2</v>
      </c>
      <c r="O60">
        <v>5.8130256999999998E-2</v>
      </c>
      <c r="P60">
        <v>0.12441113600000001</v>
      </c>
      <c r="Q60">
        <v>0.13221469999999999</v>
      </c>
      <c r="R60">
        <v>0.12135148</v>
      </c>
      <c r="S60">
        <v>2.83147E-3</v>
      </c>
      <c r="T60">
        <v>-0.50577329999999998</v>
      </c>
      <c r="U60">
        <v>-0.33185068000000001</v>
      </c>
      <c r="V60">
        <v>-5.3259595999999999E-2</v>
      </c>
      <c r="W60">
        <v>9.9924009999999994E-2</v>
      </c>
      <c r="X60">
        <v>6.5359464000000001E-3</v>
      </c>
      <c r="Y60">
        <v>-0.13908091</v>
      </c>
      <c r="Z60">
        <v>0.107248366</v>
      </c>
      <c r="AA60">
        <v>-0.31058451999999998</v>
      </c>
      <c r="AB60">
        <v>-1.5168702000000001E-3</v>
      </c>
      <c r="AC60">
        <v>-4.2137123999999998E-2</v>
      </c>
      <c r="AD60">
        <v>-0.10473388</v>
      </c>
      <c r="AE60">
        <v>1.3722659999999999E-2</v>
      </c>
      <c r="AF60">
        <v>0.12555672000000001</v>
      </c>
      <c r="AG60">
        <v>6.9787089999999996E-2</v>
      </c>
      <c r="AH60">
        <v>-0.11173387999999999</v>
      </c>
      <c r="AI60">
        <v>0.24696462999999999</v>
      </c>
      <c r="AJ60">
        <v>4.4387419999999997E-2</v>
      </c>
      <c r="AK60">
        <v>6.6772739999999997E-2</v>
      </c>
      <c r="AL60">
        <v>7.6610079999999997E-2</v>
      </c>
      <c r="AM60">
        <v>0.23652176999999999</v>
      </c>
      <c r="AN60">
        <v>0.20328652999999999</v>
      </c>
      <c r="AO60">
        <v>-1.0022601000000001E-2</v>
      </c>
      <c r="AP60">
        <v>0.33812234000000002</v>
      </c>
      <c r="AQ60">
        <v>0.121105134</v>
      </c>
      <c r="AR60">
        <v>0.25278394999999998</v>
      </c>
      <c r="AS60">
        <v>0.10660829400000001</v>
      </c>
      <c r="AT60">
        <v>3.0523792000000001E-2</v>
      </c>
      <c r="AU60">
        <v>0.10905040000000001</v>
      </c>
      <c r="AV60">
        <v>0.3210306</v>
      </c>
      <c r="AW60">
        <v>3.8405396000000001E-2</v>
      </c>
      <c r="AX60">
        <v>-0.20041259</v>
      </c>
      <c r="AY60">
        <v>8.0497269999999996E-2</v>
      </c>
      <c r="AZ60">
        <v>0.26950615999999999</v>
      </c>
      <c r="BA60">
        <v>7.5869589999999997E-4</v>
      </c>
      <c r="BB60">
        <v>0.23237163999999999</v>
      </c>
      <c r="BC60">
        <v>-8.1026434999999994E-2</v>
      </c>
      <c r="BD60">
        <v>-0.11655744</v>
      </c>
      <c r="BE60">
        <v>-0.16109443000000001</v>
      </c>
      <c r="BF60">
        <v>0.10105156</v>
      </c>
      <c r="BG60">
        <v>-7.7045849999999999E-2</v>
      </c>
      <c r="BH60">
        <v>-5.4608956E-2</v>
      </c>
      <c r="BI60">
        <v>0.36940729999999999</v>
      </c>
      <c r="BJ60">
        <v>-0.37985469999999999</v>
      </c>
      <c r="BK60">
        <v>3.2737352999999999E-3</v>
      </c>
      <c r="BL60">
        <v>0.19264281</v>
      </c>
      <c r="BM60">
        <v>0.37974775</v>
      </c>
      <c r="BN60">
        <v>-0.4475017</v>
      </c>
      <c r="BO60">
        <v>-0.28886503000000002</v>
      </c>
      <c r="BP60">
        <v>4.2830846999999998E-2</v>
      </c>
      <c r="BQ60">
        <v>0.1443941</v>
      </c>
      <c r="BR60">
        <v>-1.3215344E-2</v>
      </c>
      <c r="BS60">
        <v>-0.13473711999999999</v>
      </c>
      <c r="BT60">
        <v>-5.8138202999999996E-3</v>
      </c>
      <c r="BU60">
        <v>-0.49484630000000002</v>
      </c>
      <c r="BV60">
        <v>-0.27543980000000001</v>
      </c>
      <c r="BW60">
        <v>-0.25415808000000001</v>
      </c>
      <c r="BX60">
        <v>-3.7660464999999997E-2</v>
      </c>
      <c r="BY60">
        <v>-7.7008370000000007E-2</v>
      </c>
      <c r="BZ60">
        <v>0.13974433</v>
      </c>
      <c r="CA60">
        <v>-0.17163824</v>
      </c>
      <c r="CB60">
        <v>-5.1093760000000002E-2</v>
      </c>
      <c r="CC60">
        <v>3.1657764000000001E-3</v>
      </c>
      <c r="CD60">
        <v>-8.0992326000000003E-2</v>
      </c>
      <c r="CE60">
        <v>-4.8325269999999997E-2</v>
      </c>
      <c r="CF60">
        <v>4.7923963999999999E-2</v>
      </c>
      <c r="CG60">
        <v>0.31381512</v>
      </c>
      <c r="CH60">
        <v>4.3913145000000001E-2</v>
      </c>
      <c r="CI60">
        <v>7.4587020000000004E-2</v>
      </c>
      <c r="CJ60">
        <v>-0.10674996</v>
      </c>
      <c r="CK60">
        <v>0.10174475600000001</v>
      </c>
      <c r="CL60">
        <v>5.6662526999999999E-3</v>
      </c>
      <c r="CM60">
        <v>0.2792115</v>
      </c>
      <c r="CN60">
        <v>6.6285886000000002E-2</v>
      </c>
      <c r="CO60">
        <v>0.20811927</v>
      </c>
      <c r="CP60">
        <v>-0.20121488000000001</v>
      </c>
      <c r="CQ60">
        <v>0.13679269999999999</v>
      </c>
      <c r="CR60">
        <v>8.4673209999999999E-2</v>
      </c>
      <c r="CS60">
        <v>-4.6937419999999999E-3</v>
      </c>
      <c r="CT60">
        <v>7.8463770000000002E-2</v>
      </c>
      <c r="CU60">
        <v>9.028274E-2</v>
      </c>
      <c r="CV60">
        <v>-0.47378369999999997</v>
      </c>
      <c r="CW60">
        <v>0.28297314000000001</v>
      </c>
      <c r="CX60">
        <v>-4.5204873999999999E-2</v>
      </c>
      <c r="CY60">
        <v>-9.2133010000000001E-2</v>
      </c>
      <c r="CZ60">
        <v>-9.9618380000000006E-2</v>
      </c>
      <c r="DA60">
        <v>-0.18827651000000001</v>
      </c>
      <c r="DB60">
        <v>2.1472767E-2</v>
      </c>
      <c r="DC60">
        <v>-0.14333214</v>
      </c>
      <c r="DD60">
        <v>-0.16298746</v>
      </c>
      <c r="DE60">
        <v>-0.33836216000000002</v>
      </c>
      <c r="DF60">
        <v>-1.8038961999999999E-2</v>
      </c>
      <c r="DG60">
        <v>-5.1511128000000003E-2</v>
      </c>
      <c r="DH60">
        <v>-4.1664939999999998E-2</v>
      </c>
      <c r="DI60">
        <v>-0.13342403999999999</v>
      </c>
      <c r="DJ60">
        <v>9.4374545000000004E-2</v>
      </c>
      <c r="DK60">
        <v>0.17885761999999999</v>
      </c>
      <c r="DL60">
        <v>-0.80791824999999995</v>
      </c>
      <c r="DM60">
        <v>4.7409310000000003E-2</v>
      </c>
      <c r="DN60">
        <v>0.19406762999999999</v>
      </c>
      <c r="DO60">
        <v>0.11535279499999999</v>
      </c>
      <c r="DP60">
        <v>8.5976675000000002E-2</v>
      </c>
      <c r="DQ60">
        <v>-0.1178983</v>
      </c>
      <c r="DR60">
        <v>0.16484313</v>
      </c>
      <c r="DS60">
        <v>0.43109244000000002</v>
      </c>
      <c r="DT60">
        <v>-0.11731138000000001</v>
      </c>
      <c r="DU60">
        <v>0.15595247000000001</v>
      </c>
      <c r="DV60">
        <v>0.12971859999999999</v>
      </c>
      <c r="DW60">
        <v>-2.6703667E-2</v>
      </c>
      <c r="DX60">
        <v>-2.6931635999999998E-2</v>
      </c>
      <c r="DY60">
        <v>9.5056959999999996E-2</v>
      </c>
      <c r="DZ60">
        <v>-0.28421353999999999</v>
      </c>
    </row>
    <row r="61" spans="1:130" x14ac:dyDescent="0.3">
      <c r="A61">
        <f>Board!$K$6</f>
        <v>0</v>
      </c>
      <c r="C61">
        <v>-0.20962115000000001</v>
      </c>
      <c r="D61">
        <v>0.10462900999999999</v>
      </c>
      <c r="E61">
        <v>-0.103450045</v>
      </c>
      <c r="F61">
        <v>-8.7108640000000001E-2</v>
      </c>
      <c r="G61">
        <v>-0.51436059999999995</v>
      </c>
      <c r="H61">
        <v>-8.4300554999999999E-2</v>
      </c>
      <c r="I61">
        <v>-8.64568E-2</v>
      </c>
      <c r="J61">
        <v>-0.114753604</v>
      </c>
      <c r="K61">
        <v>0.28159364999999997</v>
      </c>
      <c r="L61">
        <v>0.12463703</v>
      </c>
      <c r="M61">
        <v>-0.64918140000000002</v>
      </c>
      <c r="N61">
        <v>5.7301751999999997E-2</v>
      </c>
      <c r="O61">
        <v>-1.7528925000000001E-2</v>
      </c>
      <c r="P61">
        <v>-0.13475592</v>
      </c>
      <c r="Q61">
        <v>7.2420150000000003E-2</v>
      </c>
      <c r="R61">
        <v>0.23871234</v>
      </c>
      <c r="S61">
        <v>0.11386358000000001</v>
      </c>
      <c r="T61">
        <v>-0.57253089999999995</v>
      </c>
      <c r="U61">
        <v>-0.36010468000000001</v>
      </c>
      <c r="V61">
        <v>-5.5926679999999999E-2</v>
      </c>
      <c r="W61">
        <v>8.7834775000000004E-2</v>
      </c>
      <c r="X61">
        <v>-0.23589635</v>
      </c>
      <c r="Y61">
        <v>-6.4929650000000005E-2</v>
      </c>
      <c r="Z61">
        <v>0.17948264</v>
      </c>
      <c r="AA61">
        <v>-0.17906865</v>
      </c>
      <c r="AB61">
        <v>0.26989308000000001</v>
      </c>
      <c r="AC61">
        <v>-2.2612948000000001E-2</v>
      </c>
      <c r="AD61">
        <v>-8.0600544999999996E-2</v>
      </c>
      <c r="AE61">
        <v>0.1469201</v>
      </c>
      <c r="AF61">
        <v>-0.17671724</v>
      </c>
      <c r="AG61">
        <v>8.0345810000000004E-2</v>
      </c>
      <c r="AH61">
        <v>3.0525057000000001E-2</v>
      </c>
      <c r="AI61">
        <v>-2.5810520999999999E-2</v>
      </c>
      <c r="AJ61">
        <v>-6.7295189999999998E-3</v>
      </c>
      <c r="AK61">
        <v>3.8732477000000001E-2</v>
      </c>
      <c r="AL61">
        <v>-4.2241260000000003E-2</v>
      </c>
      <c r="AM61">
        <v>-2.3083726000000001E-3</v>
      </c>
      <c r="AN61">
        <v>0.13822022</v>
      </c>
      <c r="AO61">
        <v>1.1333744000000001E-3</v>
      </c>
      <c r="AP61">
        <v>0.25729844000000002</v>
      </c>
      <c r="AQ61">
        <v>0.19349626</v>
      </c>
      <c r="AR61">
        <v>0.111514896</v>
      </c>
      <c r="AS61">
        <v>-6.0052651999999998E-2</v>
      </c>
      <c r="AT61">
        <v>0.22317855</v>
      </c>
      <c r="AU61">
        <v>6.0414106000000002E-2</v>
      </c>
      <c r="AV61">
        <v>-3.3652715E-2</v>
      </c>
      <c r="AW61">
        <v>-6.2620159999999996E-3</v>
      </c>
      <c r="AX61">
        <v>-0.2011252</v>
      </c>
      <c r="AY61">
        <v>-2.1546285000000002E-3</v>
      </c>
      <c r="AZ61">
        <v>6.2334260000000002E-2</v>
      </c>
      <c r="BA61">
        <v>-0.18141782000000001</v>
      </c>
      <c r="BB61">
        <v>0.29560419999999998</v>
      </c>
      <c r="BC61">
        <v>7.9668729999999993E-2</v>
      </c>
      <c r="BD61">
        <v>0.16711822000000001</v>
      </c>
      <c r="BE61">
        <v>-0.33012279999999999</v>
      </c>
      <c r="BF61">
        <v>0.22709494999999999</v>
      </c>
      <c r="BG61">
        <v>5.2008867E-2</v>
      </c>
      <c r="BH61">
        <v>-5.8588527000000001E-2</v>
      </c>
      <c r="BI61">
        <v>2.8074259000000001E-2</v>
      </c>
      <c r="BJ61">
        <v>-0.61627259999999995</v>
      </c>
      <c r="BK61">
        <v>-9.344715E-3</v>
      </c>
      <c r="BL61">
        <v>8.7840064999999995E-2</v>
      </c>
      <c r="BM61">
        <v>0.30501764999999997</v>
      </c>
      <c r="BN61">
        <v>-0.23778073</v>
      </c>
      <c r="BO61">
        <v>-0.19283536000000001</v>
      </c>
      <c r="BP61">
        <v>0.22633526000000001</v>
      </c>
      <c r="BQ61">
        <v>-1.5710453E-3</v>
      </c>
      <c r="BR61">
        <v>5.6960054000000003E-2</v>
      </c>
      <c r="BS61">
        <v>-0.12139788999999999</v>
      </c>
      <c r="BT61">
        <v>2.8149387000000001E-2</v>
      </c>
      <c r="BU61">
        <v>-0.16980719999999999</v>
      </c>
      <c r="BV61">
        <v>-5.7146702000000001E-2</v>
      </c>
      <c r="BW61">
        <v>-0.32016637999999997</v>
      </c>
      <c r="BX61">
        <v>0.1206658</v>
      </c>
      <c r="BY61">
        <v>0.10042279</v>
      </c>
      <c r="BZ61">
        <v>-0.33889848</v>
      </c>
      <c r="CA61">
        <v>0.12994757000000001</v>
      </c>
      <c r="CB61">
        <v>0.15466888000000001</v>
      </c>
      <c r="CC61">
        <v>-0.19285591999999999</v>
      </c>
      <c r="CD61">
        <v>-6.0958440000000003E-2</v>
      </c>
      <c r="CE61">
        <v>1.0157034000000001E-2</v>
      </c>
      <c r="CF61">
        <v>2.3835829999999999E-2</v>
      </c>
      <c r="CG61">
        <v>0.15447937</v>
      </c>
      <c r="CH61">
        <v>7.2253554999999997E-2</v>
      </c>
      <c r="CI61">
        <v>-4.1271596999999998E-3</v>
      </c>
      <c r="CJ61">
        <v>0.17182800000000001</v>
      </c>
      <c r="CK61">
        <v>-0.10597375000000001</v>
      </c>
      <c r="CL61">
        <v>6.061134E-2</v>
      </c>
      <c r="CM61">
        <v>1.5509411000000001E-2</v>
      </c>
      <c r="CN61">
        <v>-3.6814270000000003E-2</v>
      </c>
      <c r="CO61">
        <v>9.3393169999999998E-2</v>
      </c>
      <c r="CP61">
        <v>-0.14138197999999999</v>
      </c>
      <c r="CQ61">
        <v>0.12952298000000001</v>
      </c>
      <c r="CR61">
        <v>0.20203779999999999</v>
      </c>
      <c r="CS61">
        <v>2.8721968E-2</v>
      </c>
      <c r="CT61">
        <v>-3.6873754000000002E-2</v>
      </c>
      <c r="CU61">
        <v>-0.12094166000000001</v>
      </c>
      <c r="CV61">
        <v>-0.35319105000000001</v>
      </c>
      <c r="CW61">
        <v>0.24229856999999999</v>
      </c>
      <c r="CX61">
        <v>9.5753095999999996E-2</v>
      </c>
      <c r="CY61">
        <v>-8.0679390000000004E-2</v>
      </c>
      <c r="CZ61">
        <v>6.9429245999999998E-3</v>
      </c>
      <c r="DA61">
        <v>-4.5594032999999999E-2</v>
      </c>
      <c r="DB61">
        <v>5.7111281999999999E-2</v>
      </c>
      <c r="DC61">
        <v>-8.4528000000000006E-2</v>
      </c>
      <c r="DD61">
        <v>-7.0624313999999994E-2</v>
      </c>
      <c r="DE61">
        <v>-0.43436493999999998</v>
      </c>
      <c r="DF61">
        <v>-0.10763059</v>
      </c>
      <c r="DG61">
        <v>-0.30351066999999998</v>
      </c>
      <c r="DH61">
        <v>5.0440147999999997E-2</v>
      </c>
      <c r="DI61">
        <v>-1.7374299999999999E-2</v>
      </c>
      <c r="DJ61">
        <v>0.15179323</v>
      </c>
      <c r="DK61">
        <v>0.30596279999999998</v>
      </c>
      <c r="DL61">
        <v>-0.84908855000000005</v>
      </c>
      <c r="DM61">
        <v>-0.26496214000000001</v>
      </c>
      <c r="DN61">
        <v>-0.51738393000000005</v>
      </c>
      <c r="DO61">
        <v>0.22946157</v>
      </c>
      <c r="DP61">
        <v>7.1572469999999999E-2</v>
      </c>
      <c r="DQ61">
        <v>0.17223189999999999</v>
      </c>
      <c r="DR61">
        <v>-3.2175074999999997E-2</v>
      </c>
      <c r="DS61">
        <v>6.6710619999999998E-2</v>
      </c>
      <c r="DT61">
        <v>-5.8101460000000001E-2</v>
      </c>
      <c r="DU61">
        <v>5.2805576E-2</v>
      </c>
      <c r="DV61">
        <v>-0.12466743</v>
      </c>
      <c r="DW61">
        <v>-2.8697331000000002E-3</v>
      </c>
      <c r="DX61">
        <v>-0.18273558000000001</v>
      </c>
      <c r="DY61">
        <v>6.472514E-2</v>
      </c>
      <c r="DZ61">
        <v>-0.44139970000000001</v>
      </c>
    </row>
    <row r="62" spans="1:130" x14ac:dyDescent="0.3">
      <c r="A62">
        <f>Board!$L$6</f>
        <v>0</v>
      </c>
      <c r="C62">
        <v>-0.28087752999999999</v>
      </c>
      <c r="D62">
        <v>0.15811080999999999</v>
      </c>
      <c r="E62">
        <v>-9.5955180000000001E-2</v>
      </c>
      <c r="F62">
        <v>4.61021E-2</v>
      </c>
      <c r="G62">
        <v>-0.45493397000000002</v>
      </c>
      <c r="H62">
        <v>0.27597221999999999</v>
      </c>
      <c r="I62">
        <v>0.24243998999999999</v>
      </c>
      <c r="J62">
        <v>-9.842062E-2</v>
      </c>
      <c r="K62">
        <v>0.29394462999999998</v>
      </c>
      <c r="L62">
        <v>9.7364455000000003E-2</v>
      </c>
      <c r="M62">
        <v>-0.40079664999999998</v>
      </c>
      <c r="N62">
        <v>0.21417723999999999</v>
      </c>
      <c r="O62">
        <v>-0.40141286999999998</v>
      </c>
      <c r="P62">
        <v>-2.4107904999999999E-2</v>
      </c>
      <c r="Q62">
        <v>-2.6019422E-2</v>
      </c>
      <c r="R62">
        <v>0.11237708</v>
      </c>
      <c r="S62">
        <v>0.19016936000000001</v>
      </c>
      <c r="T62">
        <v>-0.35571554</v>
      </c>
      <c r="U62">
        <v>-0.28776639999999998</v>
      </c>
      <c r="V62">
        <v>-6.5258849999999993E-2</v>
      </c>
      <c r="W62">
        <v>0.15981935</v>
      </c>
      <c r="X62">
        <v>-4.2709619999999997E-2</v>
      </c>
      <c r="Y62">
        <v>-8.5829710000000004E-2</v>
      </c>
      <c r="Z62">
        <v>0.19901495999999999</v>
      </c>
      <c r="AA62">
        <v>-0.33730589999999999</v>
      </c>
      <c r="AB62">
        <v>0.10740063</v>
      </c>
      <c r="AC62">
        <v>0.17529003000000001</v>
      </c>
      <c r="AD62">
        <v>4.8876200000000002E-2</v>
      </c>
      <c r="AE62">
        <v>0.18155597000000001</v>
      </c>
      <c r="AF62">
        <v>-0.65508140000000004</v>
      </c>
      <c r="AG62">
        <v>-8.1354745000000006E-2</v>
      </c>
      <c r="AH62">
        <v>-0.2110486</v>
      </c>
      <c r="AI62">
        <v>-0.1129965</v>
      </c>
      <c r="AJ62">
        <v>0.15286240000000001</v>
      </c>
      <c r="AK62">
        <v>6.419531E-3</v>
      </c>
      <c r="AL62">
        <v>7.8022359999999999E-2</v>
      </c>
      <c r="AM62">
        <v>0.21623841999999999</v>
      </c>
      <c r="AN62">
        <v>0.1117665</v>
      </c>
      <c r="AO62">
        <v>0.11252943999999999</v>
      </c>
      <c r="AP62">
        <v>0.27310403999999999</v>
      </c>
      <c r="AQ62">
        <v>0.15202324</v>
      </c>
      <c r="AR62">
        <v>0.46449934999999998</v>
      </c>
      <c r="AS62">
        <v>0.24034905000000001</v>
      </c>
      <c r="AT62">
        <v>0.19535768000000001</v>
      </c>
      <c r="AU62">
        <v>0.20111877</v>
      </c>
      <c r="AV62">
        <v>0.10735749</v>
      </c>
      <c r="AW62">
        <v>1.2691488500000001E-2</v>
      </c>
      <c r="AX62">
        <v>-0.16522233</v>
      </c>
      <c r="AY62">
        <v>-0.12248584</v>
      </c>
      <c r="AZ62">
        <v>-0.10484668599999999</v>
      </c>
      <c r="BA62">
        <v>-5.9867322000000001E-2</v>
      </c>
      <c r="BB62">
        <v>0.18191684999999999</v>
      </c>
      <c r="BC62">
        <v>0.14244838000000001</v>
      </c>
      <c r="BD62">
        <v>0.31529793</v>
      </c>
      <c r="BE62">
        <v>-0.45625648000000002</v>
      </c>
      <c r="BF62">
        <v>7.5758779999999998E-2</v>
      </c>
      <c r="BG62">
        <v>-0.13115009999999999</v>
      </c>
      <c r="BH62">
        <v>-0.19096592000000001</v>
      </c>
      <c r="BI62">
        <v>-0.3989973</v>
      </c>
      <c r="BJ62">
        <v>-0.38708799999999999</v>
      </c>
      <c r="BK62">
        <v>0.10161141</v>
      </c>
      <c r="BL62">
        <v>-3.5471953000000001E-2</v>
      </c>
      <c r="BM62">
        <v>0.14314082</v>
      </c>
      <c r="BN62">
        <v>-0.27038240000000002</v>
      </c>
      <c r="BO62">
        <v>-0.22667657999999999</v>
      </c>
      <c r="BP62">
        <v>0.16859418000000001</v>
      </c>
      <c r="BQ62">
        <v>-0.11949323000000001</v>
      </c>
      <c r="BR62">
        <v>0.32852197</v>
      </c>
      <c r="BS62">
        <v>7.9708000000000001E-2</v>
      </c>
      <c r="BT62">
        <v>0.16718057</v>
      </c>
      <c r="BU62">
        <v>0.18124744000000001</v>
      </c>
      <c r="BV62">
        <v>-4.3833195999999998E-2</v>
      </c>
      <c r="BW62">
        <v>-0.35087875000000002</v>
      </c>
      <c r="BX62">
        <v>7.4017680000000002E-2</v>
      </c>
      <c r="BY62">
        <v>4.0002950000000001E-3</v>
      </c>
      <c r="BZ62">
        <v>-0.18745329999999999</v>
      </c>
      <c r="CA62">
        <v>-1.7056043E-3</v>
      </c>
      <c r="CB62">
        <v>7.0591903999999997E-2</v>
      </c>
      <c r="CC62">
        <v>-0.111832775</v>
      </c>
      <c r="CD62">
        <v>0.27967082999999998</v>
      </c>
      <c r="CE62">
        <v>7.4146173999999995E-2</v>
      </c>
      <c r="CF62">
        <v>-0.14201443</v>
      </c>
      <c r="CG62">
        <v>-4.4306945E-2</v>
      </c>
      <c r="CH62">
        <v>9.8642480000000005E-2</v>
      </c>
      <c r="CI62">
        <v>0.12119572000000001</v>
      </c>
      <c r="CJ62">
        <v>0.28229957999999999</v>
      </c>
      <c r="CK62">
        <v>4.6885024999999997E-2</v>
      </c>
      <c r="CL62">
        <v>-1.431467E-2</v>
      </c>
      <c r="CM62">
        <v>0.20332415000000001</v>
      </c>
      <c r="CN62">
        <v>-8.8809929999999995E-2</v>
      </c>
      <c r="CO62">
        <v>-0.106676936</v>
      </c>
      <c r="CP62">
        <v>-0.21435199999999999</v>
      </c>
      <c r="CQ62">
        <v>-2.8971888000000001E-2</v>
      </c>
      <c r="CR62">
        <v>0.24330141999999999</v>
      </c>
      <c r="CS62">
        <v>4.7308076000000003E-3</v>
      </c>
      <c r="CT62">
        <v>3.9967526999999999E-3</v>
      </c>
      <c r="CU62">
        <v>-0.27566313999999997</v>
      </c>
      <c r="CV62">
        <v>-0.47102129999999998</v>
      </c>
      <c r="CW62">
        <v>5.2845504000000001E-2</v>
      </c>
      <c r="CX62">
        <v>7.5705915999999998E-2</v>
      </c>
      <c r="CY62">
        <v>-0.122622855</v>
      </c>
      <c r="CZ62">
        <v>-0.15025061000000001</v>
      </c>
      <c r="DA62">
        <v>6.9707560000000002E-2</v>
      </c>
      <c r="DB62">
        <v>-8.2648895999999999E-2</v>
      </c>
      <c r="DC62">
        <v>-0.25270664999999998</v>
      </c>
      <c r="DD62">
        <v>3.2247347000000002E-3</v>
      </c>
      <c r="DE62">
        <v>-0.57908170000000003</v>
      </c>
      <c r="DF62">
        <v>0.111173734</v>
      </c>
      <c r="DG62">
        <v>-0.25066189999999999</v>
      </c>
      <c r="DH62">
        <v>5.7700491999999999E-2</v>
      </c>
      <c r="DI62">
        <v>-5.1534530000000002E-2</v>
      </c>
      <c r="DJ62">
        <v>3.7204130000000002E-2</v>
      </c>
      <c r="DK62">
        <v>0.32559627000000002</v>
      </c>
      <c r="DL62">
        <v>-0.57925199999999999</v>
      </c>
      <c r="DM62">
        <v>0.22701552999999999</v>
      </c>
      <c r="DN62">
        <v>-0.3708998</v>
      </c>
      <c r="DO62">
        <v>1.1072479E-2</v>
      </c>
      <c r="DP62">
        <v>-0.15341431999999999</v>
      </c>
      <c r="DQ62">
        <v>6.2322705999999999E-2</v>
      </c>
      <c r="DR62">
        <v>-0.32945898000000001</v>
      </c>
      <c r="DS62">
        <v>-0.1735053</v>
      </c>
      <c r="DT62">
        <v>-4.9511834999999997E-2</v>
      </c>
      <c r="DU62">
        <v>0.25117558000000001</v>
      </c>
      <c r="DV62">
        <v>0.15323545</v>
      </c>
      <c r="DW62">
        <v>3.6946635999999998E-2</v>
      </c>
      <c r="DX62">
        <v>-5.9634215999999997E-2</v>
      </c>
      <c r="DY62">
        <v>0.10928121</v>
      </c>
      <c r="DZ62">
        <v>-0.33507105999999998</v>
      </c>
    </row>
    <row r="63" spans="1:130" x14ac:dyDescent="0.3">
      <c r="A63">
        <f>Board!$M$6</f>
        <v>0</v>
      </c>
      <c r="C63">
        <v>-8.6376320000000006E-2</v>
      </c>
      <c r="D63">
        <v>0.39190373000000001</v>
      </c>
      <c r="E63">
        <v>-0.23652287999999999</v>
      </c>
      <c r="F63">
        <v>-0.14945992999999999</v>
      </c>
      <c r="G63">
        <v>-9.7406199999999998E-2</v>
      </c>
      <c r="H63">
        <v>0.20782544</v>
      </c>
      <c r="I63">
        <v>0.23678979999999999</v>
      </c>
      <c r="J63">
        <v>2.2249313E-2</v>
      </c>
      <c r="K63">
        <v>-6.2256520000000003E-2</v>
      </c>
      <c r="L63">
        <v>9.2255180000000006E-2</v>
      </c>
      <c r="M63">
        <v>-9.1598414000000003E-2</v>
      </c>
      <c r="N63">
        <v>0.29538769999999998</v>
      </c>
      <c r="O63">
        <v>-0.1580965</v>
      </c>
      <c r="P63">
        <v>-0.20288016</v>
      </c>
      <c r="Q63">
        <v>-0.28721172</v>
      </c>
      <c r="R63">
        <v>-0.17593004000000001</v>
      </c>
      <c r="S63">
        <v>0.39374379999999998</v>
      </c>
      <c r="T63">
        <v>-3.9010715000000001E-2</v>
      </c>
      <c r="U63">
        <v>2.7318533999999998E-2</v>
      </c>
      <c r="V63">
        <v>0.10483741000000001</v>
      </c>
      <c r="W63">
        <v>2.0325780000000002E-2</v>
      </c>
      <c r="X63">
        <v>-6.9485420000000006E-2</v>
      </c>
      <c r="Y63">
        <v>0.20075551999999999</v>
      </c>
      <c r="Z63">
        <v>-7.5318960000000004E-2</v>
      </c>
      <c r="AA63">
        <v>-2.7352595E-3</v>
      </c>
      <c r="AB63">
        <v>-0.13918525000000001</v>
      </c>
      <c r="AC63">
        <v>0.20090762000000001</v>
      </c>
      <c r="AD63">
        <v>0.30160334999999999</v>
      </c>
      <c r="AE63">
        <v>0.59019630000000001</v>
      </c>
      <c r="AF63">
        <v>-0.45368530000000001</v>
      </c>
      <c r="AG63">
        <v>-0.13706487000000001</v>
      </c>
      <c r="AH63">
        <v>0.26069334</v>
      </c>
      <c r="AI63">
        <v>0.11295647</v>
      </c>
      <c r="AJ63">
        <v>0.21334739</v>
      </c>
      <c r="AK63">
        <v>-0.29291954999999997</v>
      </c>
      <c r="AL63">
        <v>9.3978339999999994E-2</v>
      </c>
      <c r="AM63">
        <v>9.3104140000000002E-2</v>
      </c>
      <c r="AN63">
        <v>5.9099240000000004E-3</v>
      </c>
      <c r="AO63">
        <v>8.3724320000000005E-2</v>
      </c>
      <c r="AP63">
        <v>0.34702189999999999</v>
      </c>
      <c r="AQ63">
        <v>0.31453118000000002</v>
      </c>
      <c r="AR63">
        <v>0.44165757</v>
      </c>
      <c r="AS63">
        <v>9.5391799999999999E-2</v>
      </c>
      <c r="AT63">
        <v>0.32385656000000002</v>
      </c>
      <c r="AU63">
        <v>3.7115299999999997E-2</v>
      </c>
      <c r="AV63">
        <v>0.23454833</v>
      </c>
      <c r="AW63">
        <v>0.36376467000000001</v>
      </c>
      <c r="AX63">
        <v>0.16079228000000001</v>
      </c>
      <c r="AY63">
        <v>-9.8365030000000006E-2</v>
      </c>
      <c r="AZ63">
        <v>-0.42670103999999998</v>
      </c>
      <c r="BA63">
        <v>4.876337E-2</v>
      </c>
      <c r="BB63">
        <v>0.17978137999999999</v>
      </c>
      <c r="BC63">
        <v>-0.18720484000000001</v>
      </c>
      <c r="BD63">
        <v>0.14351343</v>
      </c>
      <c r="BE63">
        <v>-9.4312010000000002E-2</v>
      </c>
      <c r="BF63">
        <v>0.20540166000000001</v>
      </c>
      <c r="BG63">
        <v>0.11861875</v>
      </c>
      <c r="BH63">
        <v>-3.6434710000000002E-2</v>
      </c>
      <c r="BI63">
        <v>-0.28521292999999998</v>
      </c>
      <c r="BJ63">
        <v>-5.5852606999999999E-2</v>
      </c>
      <c r="BK63">
        <v>0.37067017000000002</v>
      </c>
      <c r="BL63">
        <v>0.11446407</v>
      </c>
      <c r="BM63">
        <v>0.28057789999999999</v>
      </c>
      <c r="BN63">
        <v>8.5981323999999998E-2</v>
      </c>
      <c r="BO63">
        <v>0.13611545999999999</v>
      </c>
      <c r="BP63">
        <v>0.2389464</v>
      </c>
      <c r="BQ63">
        <v>4.0570673000000002E-2</v>
      </c>
      <c r="BR63">
        <v>-1.3757917999999999E-2</v>
      </c>
      <c r="BS63">
        <v>0.10601127</v>
      </c>
      <c r="BT63">
        <v>0.12641980999999999</v>
      </c>
      <c r="BU63">
        <v>0.31339875</v>
      </c>
      <c r="BV63">
        <v>-0.25245806999999998</v>
      </c>
      <c r="BW63">
        <v>-0.3406477</v>
      </c>
      <c r="BX63">
        <v>0.14505889</v>
      </c>
      <c r="BY63">
        <v>0.17174059</v>
      </c>
      <c r="BZ63">
        <v>0.15006575</v>
      </c>
      <c r="CA63">
        <v>6.1871897000000002E-2</v>
      </c>
      <c r="CB63">
        <v>-8.0301520000000001E-2</v>
      </c>
      <c r="CC63">
        <v>-9.6092659999999996E-2</v>
      </c>
      <c r="CD63">
        <v>0.17465053</v>
      </c>
      <c r="CE63">
        <v>-7.6321259999999997E-4</v>
      </c>
      <c r="CF63">
        <v>-0.41799303999999998</v>
      </c>
      <c r="CG63">
        <v>-0.1388566</v>
      </c>
      <c r="CH63">
        <v>-0.1897162</v>
      </c>
      <c r="CI63">
        <v>0.11471265</v>
      </c>
      <c r="CJ63">
        <v>5.6338872999999998E-2</v>
      </c>
      <c r="CK63">
        <v>-0.12998867</v>
      </c>
      <c r="CL63">
        <v>0.12169126399999999</v>
      </c>
      <c r="CM63">
        <v>7.4411662999999996E-3</v>
      </c>
      <c r="CN63">
        <v>0.11690047000000001</v>
      </c>
      <c r="CO63">
        <v>9.3658430000000001E-2</v>
      </c>
      <c r="CP63">
        <v>-0.40382093000000002</v>
      </c>
      <c r="CQ63">
        <v>-0.12691283</v>
      </c>
      <c r="CR63">
        <v>0.3094016</v>
      </c>
      <c r="CS63">
        <v>-0.12615038000000001</v>
      </c>
      <c r="CT63">
        <v>3.3735279999999999E-2</v>
      </c>
      <c r="CU63">
        <v>-0.21106710000000001</v>
      </c>
      <c r="CV63">
        <v>-5.0579140000000002E-2</v>
      </c>
      <c r="CW63">
        <v>-8.4797880000000006E-2</v>
      </c>
      <c r="CX63">
        <v>-2.1856793999999999E-2</v>
      </c>
      <c r="CY63">
        <v>0.18075782000000001</v>
      </c>
      <c r="CZ63">
        <v>-0.19507216999999999</v>
      </c>
      <c r="DA63">
        <v>0.31258704999999998</v>
      </c>
      <c r="DB63">
        <v>0.13418894000000001</v>
      </c>
      <c r="DC63">
        <v>-0.11930540000000001</v>
      </c>
      <c r="DD63">
        <v>0.17263095000000001</v>
      </c>
      <c r="DE63">
        <v>5.1670639999999999E-3</v>
      </c>
      <c r="DF63">
        <v>0.21453423999999999</v>
      </c>
      <c r="DG63">
        <v>-0.25528600000000001</v>
      </c>
      <c r="DH63">
        <v>4.4629299999999997E-2</v>
      </c>
      <c r="DI63">
        <v>3.8859369999999997E-2</v>
      </c>
      <c r="DJ63">
        <v>-4.0231764000000003E-2</v>
      </c>
      <c r="DK63">
        <v>0.31558973000000001</v>
      </c>
      <c r="DL63">
        <v>-5.8688190000000001E-2</v>
      </c>
      <c r="DM63">
        <v>0.15701741</v>
      </c>
      <c r="DN63">
        <v>-6.9674260000000002E-2</v>
      </c>
      <c r="DO63">
        <v>5.0337954999999997E-2</v>
      </c>
      <c r="DP63">
        <v>-9.7018679999999996E-2</v>
      </c>
      <c r="DQ63">
        <v>-1.8489193000000001E-2</v>
      </c>
      <c r="DR63">
        <v>7.8896160000000007E-2</v>
      </c>
      <c r="DS63">
        <v>-0.20370432999999999</v>
      </c>
      <c r="DT63">
        <v>0.46897694000000001</v>
      </c>
      <c r="DU63">
        <v>0.16387455000000001</v>
      </c>
      <c r="DV63">
        <v>0.37885454000000002</v>
      </c>
      <c r="DW63">
        <v>0.13368888000000001</v>
      </c>
      <c r="DX63">
        <v>-4.0842110000000001E-2</v>
      </c>
      <c r="DY63">
        <v>-1.11967735E-2</v>
      </c>
      <c r="DZ63">
        <v>-0.10071796</v>
      </c>
    </row>
    <row r="64" spans="1:130" x14ac:dyDescent="0.3">
      <c r="A64">
        <f>Board!$B$7</f>
        <v>0</v>
      </c>
      <c r="C64">
        <v>-0.33109825999999998</v>
      </c>
      <c r="D64">
        <v>-8.1408140000000004E-2</v>
      </c>
      <c r="E64">
        <v>-0.10324258</v>
      </c>
      <c r="F64">
        <v>7.8421560000000001E-2</v>
      </c>
      <c r="G64">
        <v>-0.11582169</v>
      </c>
      <c r="H64">
        <v>-0.35382893999999998</v>
      </c>
      <c r="I64">
        <v>-0.43589926000000001</v>
      </c>
      <c r="J64">
        <v>-0.10639928</v>
      </c>
      <c r="K64">
        <v>9.5141989999999996E-2</v>
      </c>
      <c r="L64">
        <v>-0.14449307</v>
      </c>
      <c r="M64">
        <v>0.10365255</v>
      </c>
      <c r="N64">
        <v>-3.2402065000000001E-2</v>
      </c>
      <c r="O64">
        <v>8.9084819999999995E-2</v>
      </c>
      <c r="P64">
        <v>0.14504299000000001</v>
      </c>
      <c r="Q64">
        <v>8.7320544E-2</v>
      </c>
      <c r="R64">
        <v>9.2092049999999995E-2</v>
      </c>
      <c r="S64">
        <v>-0.14896809</v>
      </c>
      <c r="T64">
        <v>6.6703475999999998E-2</v>
      </c>
      <c r="U64">
        <v>-3.0451220000000001E-2</v>
      </c>
      <c r="V64">
        <v>0.24973258000000001</v>
      </c>
      <c r="W64">
        <v>0.32658267000000002</v>
      </c>
      <c r="X64">
        <v>0.13988519999999999</v>
      </c>
      <c r="Y64">
        <v>0.14957662999999999</v>
      </c>
      <c r="Z64">
        <v>-0.33145678000000001</v>
      </c>
      <c r="AA64">
        <v>-0.18887255999999999</v>
      </c>
      <c r="AB64">
        <v>-0.19776232999999999</v>
      </c>
      <c r="AC64">
        <v>4.7523679999999999E-2</v>
      </c>
      <c r="AD64">
        <v>6.3317399999999996E-2</v>
      </c>
      <c r="AE64">
        <v>6.4092650000000001E-2</v>
      </c>
      <c r="AF64">
        <v>-0.29300242999999998</v>
      </c>
      <c r="AG64">
        <v>0.18833920000000001</v>
      </c>
      <c r="AH64">
        <v>5.1990903999999998E-2</v>
      </c>
      <c r="AI64">
        <v>0.30511078000000003</v>
      </c>
      <c r="AJ64">
        <v>-0.16974065999999999</v>
      </c>
      <c r="AK64">
        <v>-7.1929300000000002E-2</v>
      </c>
      <c r="AL64">
        <v>2.0285835000000002E-3</v>
      </c>
      <c r="AM64">
        <v>-5.1712330000000001E-2</v>
      </c>
      <c r="AN64">
        <v>0.24299788</v>
      </c>
      <c r="AO64">
        <v>-0.19987962000000001</v>
      </c>
      <c r="AP64">
        <v>0.20714207000000001</v>
      </c>
      <c r="AQ64">
        <v>0.25144761999999998</v>
      </c>
      <c r="AR64">
        <v>0.10266659</v>
      </c>
      <c r="AS64">
        <v>-5.1776442999999998E-2</v>
      </c>
      <c r="AT64">
        <v>4.9196905999999999E-2</v>
      </c>
      <c r="AU64">
        <v>5.5148890000000002E-3</v>
      </c>
      <c r="AV64">
        <v>9.0133859999999996E-2</v>
      </c>
      <c r="AW64">
        <v>-2.597066E-2</v>
      </c>
      <c r="AX64">
        <v>0.122232206</v>
      </c>
      <c r="AY64">
        <v>-0.21129792999999999</v>
      </c>
      <c r="AZ64">
        <v>0.10212802</v>
      </c>
      <c r="BA64">
        <v>-9.7418614000000001E-2</v>
      </c>
      <c r="BB64">
        <v>0.26259357</v>
      </c>
      <c r="BC64">
        <v>-1.8005244E-2</v>
      </c>
      <c r="BD64">
        <v>-0.19148660000000001</v>
      </c>
      <c r="BE64">
        <v>-8.0060214000000005E-2</v>
      </c>
      <c r="BF64">
        <v>-0.23600465000000001</v>
      </c>
      <c r="BG64">
        <v>0.17603244000000001</v>
      </c>
      <c r="BH64">
        <v>-0.15438953</v>
      </c>
      <c r="BI64">
        <v>-0.17607138</v>
      </c>
      <c r="BJ64">
        <v>2.8055308000000001E-2</v>
      </c>
      <c r="BK64">
        <v>8.5361465999999997E-2</v>
      </c>
      <c r="BL64">
        <v>-0.34813100000000002</v>
      </c>
      <c r="BM64">
        <v>0.34999058</v>
      </c>
      <c r="BN64">
        <v>-0.14775981999999999</v>
      </c>
      <c r="BO64">
        <v>0.104468584</v>
      </c>
      <c r="BP64">
        <v>-0.1770275</v>
      </c>
      <c r="BQ64">
        <v>-7.7831849999999994E-2</v>
      </c>
      <c r="BR64">
        <v>7.2357400000000002E-2</v>
      </c>
      <c r="BS64">
        <v>-5.9971545000000001E-2</v>
      </c>
      <c r="BT64">
        <v>5.3574772999999999E-3</v>
      </c>
      <c r="BU64">
        <v>-0.101744235</v>
      </c>
      <c r="BV64">
        <v>9.9284399999999995E-2</v>
      </c>
      <c r="BW64">
        <v>0.24363935</v>
      </c>
      <c r="BX64">
        <v>-0.10594667000000001</v>
      </c>
      <c r="BY64">
        <v>-0.33272766999999998</v>
      </c>
      <c r="BZ64">
        <v>0.17783625</v>
      </c>
      <c r="CA64">
        <v>-8.9044999999999999E-2</v>
      </c>
      <c r="CB64">
        <v>0.10013272600000001</v>
      </c>
      <c r="CC64">
        <v>-0.16835486999999999</v>
      </c>
      <c r="CD64">
        <v>0.1369889</v>
      </c>
      <c r="CE64">
        <v>-0.30902696000000002</v>
      </c>
      <c r="CF64">
        <v>0.1883483</v>
      </c>
      <c r="CG64">
        <v>0.10854464</v>
      </c>
      <c r="CH64">
        <v>0.24614159999999999</v>
      </c>
      <c r="CI64">
        <v>6.5830185999999999E-2</v>
      </c>
      <c r="CJ64">
        <v>-9.1317819999999994E-2</v>
      </c>
      <c r="CK64">
        <v>0.19539461999999999</v>
      </c>
      <c r="CL64">
        <v>0.34972273999999998</v>
      </c>
      <c r="CM64">
        <v>-1.4759392E-2</v>
      </c>
      <c r="CN64">
        <v>0.26233911999999998</v>
      </c>
      <c r="CO64">
        <v>-0.20572916999999999</v>
      </c>
      <c r="CP64">
        <v>0.36416933000000001</v>
      </c>
      <c r="CQ64">
        <v>3.6135960000000002E-2</v>
      </c>
      <c r="CR64">
        <v>3.8112050000000001E-2</v>
      </c>
      <c r="CS64">
        <v>0.37876589999999999</v>
      </c>
      <c r="CT64">
        <v>-3.2788240000000003E-2</v>
      </c>
      <c r="CU64">
        <v>-0.2534421</v>
      </c>
      <c r="CV64">
        <v>0.16436669000000001</v>
      </c>
      <c r="CW64">
        <v>0.12272805000000001</v>
      </c>
      <c r="CX64">
        <v>-2.3565322E-2</v>
      </c>
      <c r="CY64">
        <v>-0.25909840000000001</v>
      </c>
      <c r="CZ64">
        <v>0.10385763000000001</v>
      </c>
      <c r="DA64">
        <v>-0.27031872000000001</v>
      </c>
      <c r="DB64">
        <v>4.0604062000000003E-2</v>
      </c>
      <c r="DC64">
        <v>3.2612323999999998E-2</v>
      </c>
      <c r="DD64">
        <v>-9.9931190000000003E-2</v>
      </c>
      <c r="DE64">
        <v>-0.20669961000000001</v>
      </c>
      <c r="DF64">
        <v>0.33470739999999999</v>
      </c>
      <c r="DG64">
        <v>0.2256639</v>
      </c>
      <c r="DH64">
        <v>-0.21868784999999999</v>
      </c>
      <c r="DI64">
        <v>-0.28188875000000002</v>
      </c>
      <c r="DJ64">
        <v>0.30436647</v>
      </c>
      <c r="DK64">
        <v>0.31795143999999997</v>
      </c>
      <c r="DL64">
        <v>-0.17383234</v>
      </c>
      <c r="DM64">
        <v>-0.27957012999999997</v>
      </c>
      <c r="DN64">
        <v>0.14339938999999999</v>
      </c>
      <c r="DO64">
        <v>-0.18941032999999999</v>
      </c>
      <c r="DP64">
        <v>-0.26536690000000002</v>
      </c>
      <c r="DQ64">
        <v>0.23187461000000001</v>
      </c>
      <c r="DR64">
        <v>-1.6104482E-2</v>
      </c>
      <c r="DS64">
        <v>5.2984394000000004E-3</v>
      </c>
      <c r="DT64">
        <v>-7.3914184999999993E-2</v>
      </c>
      <c r="DU64">
        <v>8.3806039999999998E-2</v>
      </c>
      <c r="DV64">
        <v>6.3856549999999998E-2</v>
      </c>
      <c r="DW64">
        <v>0.19830021</v>
      </c>
      <c r="DX64">
        <v>0.1689271</v>
      </c>
      <c r="DY64">
        <v>8.7356630000000005E-2</v>
      </c>
      <c r="DZ64">
        <v>-9.0011544999999998E-2</v>
      </c>
    </row>
    <row r="65" spans="1:130" x14ac:dyDescent="0.3">
      <c r="A65">
        <f>Board!$C$7</f>
        <v>0</v>
      </c>
      <c r="C65">
        <v>-0.24632067999999999</v>
      </c>
      <c r="D65">
        <v>-0.13699627</v>
      </c>
      <c r="E65">
        <v>-0.29544297000000003</v>
      </c>
      <c r="F65">
        <v>0.12744826000000001</v>
      </c>
      <c r="G65">
        <v>0.13633218</v>
      </c>
      <c r="H65">
        <v>-0.12725306</v>
      </c>
      <c r="I65">
        <v>-0.21339425000000001</v>
      </c>
      <c r="J65">
        <v>-0.17586764999999999</v>
      </c>
      <c r="K65">
        <v>3.1594332000000003E-2</v>
      </c>
      <c r="L65">
        <v>-0.20779629999999999</v>
      </c>
      <c r="M65">
        <v>-6.7182004000000003E-2</v>
      </c>
      <c r="N65">
        <v>-4.2318450000000001E-2</v>
      </c>
      <c r="O65">
        <v>-9.9233344000000001E-2</v>
      </c>
      <c r="P65">
        <v>0.14819403</v>
      </c>
      <c r="Q65">
        <v>-0.46693715000000002</v>
      </c>
      <c r="R65">
        <v>0.16354236999999999</v>
      </c>
      <c r="S65">
        <v>0.24745988999999999</v>
      </c>
      <c r="T65">
        <v>7.9863719999999999E-2</v>
      </c>
      <c r="U65">
        <v>-0.20819270000000001</v>
      </c>
      <c r="V65">
        <v>0.12631956</v>
      </c>
      <c r="W65">
        <v>-0.24629213999999999</v>
      </c>
      <c r="X65">
        <v>8.0596669999999995E-2</v>
      </c>
      <c r="Y65">
        <v>0.12603128</v>
      </c>
      <c r="Z65">
        <v>0.17754990000000001</v>
      </c>
      <c r="AA65">
        <v>-8.8340880000000004E-3</v>
      </c>
      <c r="AB65">
        <v>9.3302294999999993E-2</v>
      </c>
      <c r="AC65">
        <v>-0.11933275</v>
      </c>
      <c r="AD65">
        <v>-0.13509123000000001</v>
      </c>
      <c r="AE65">
        <v>-8.6458869999999997E-3</v>
      </c>
      <c r="AF65">
        <v>-0.33193203999999998</v>
      </c>
      <c r="AG65">
        <v>-3.3262405E-3</v>
      </c>
      <c r="AH65">
        <v>-4.5217853000000002E-2</v>
      </c>
      <c r="AI65">
        <v>0.22231730999999999</v>
      </c>
      <c r="AJ65">
        <v>-7.4335280000000004E-2</v>
      </c>
      <c r="AK65">
        <v>-0.103840195</v>
      </c>
      <c r="AL65">
        <v>1.7201556E-2</v>
      </c>
      <c r="AM65">
        <v>0.20423847000000001</v>
      </c>
      <c r="AN65">
        <v>0.30212127999999999</v>
      </c>
      <c r="AO65">
        <v>0.20782970000000001</v>
      </c>
      <c r="AP65">
        <v>4.9161375E-2</v>
      </c>
      <c r="AQ65">
        <v>7.8933710000000004E-2</v>
      </c>
      <c r="AR65">
        <v>0.10637444</v>
      </c>
      <c r="AS65">
        <v>-5.7611410000000002E-2</v>
      </c>
      <c r="AT65">
        <v>0.1130086</v>
      </c>
      <c r="AU65">
        <v>-8.2245655000000001E-2</v>
      </c>
      <c r="AV65">
        <v>-8.5773340000000003E-2</v>
      </c>
      <c r="AW65">
        <v>-7.668063E-2</v>
      </c>
      <c r="AX65">
        <v>-1.2092833000000001E-2</v>
      </c>
      <c r="AY65">
        <v>7.4878000000000002E-3</v>
      </c>
      <c r="AZ65">
        <v>0.15849534000000001</v>
      </c>
      <c r="BA65">
        <v>1.9849867E-2</v>
      </c>
      <c r="BB65">
        <v>9.9710170000000004E-3</v>
      </c>
      <c r="BC65">
        <v>-0.15350522</v>
      </c>
      <c r="BD65">
        <v>-0.19354291000000001</v>
      </c>
      <c r="BE65">
        <v>4.1817571999999997E-2</v>
      </c>
      <c r="BF65">
        <v>-7.2218920000000006E-2</v>
      </c>
      <c r="BG65">
        <v>0.11906353</v>
      </c>
      <c r="BH65">
        <v>9.6144610000000005E-2</v>
      </c>
      <c r="BI65">
        <v>-0.15553518</v>
      </c>
      <c r="BJ65">
        <v>-0.11542028</v>
      </c>
      <c r="BK65">
        <v>0.25880252999999998</v>
      </c>
      <c r="BL65">
        <v>0.10343614</v>
      </c>
      <c r="BM65">
        <v>0.14044961</v>
      </c>
      <c r="BN65">
        <v>-4.9125407000000003E-2</v>
      </c>
      <c r="BO65">
        <v>-0.19607213000000001</v>
      </c>
      <c r="BP65">
        <v>-1.3291966000000001E-2</v>
      </c>
      <c r="BQ65">
        <v>-0.18910381000000001</v>
      </c>
      <c r="BR65">
        <v>-0.24319769999999999</v>
      </c>
      <c r="BS65">
        <v>-0.31837747</v>
      </c>
      <c r="BT65">
        <v>-1.0107161999999999E-2</v>
      </c>
      <c r="BU65">
        <v>-9.9021286E-2</v>
      </c>
      <c r="BV65">
        <v>0.13770642999999999</v>
      </c>
      <c r="BW65">
        <v>-3.8118751000000002E-3</v>
      </c>
      <c r="BX65">
        <v>-0.35966533000000001</v>
      </c>
      <c r="BY65">
        <v>-0.15954918000000001</v>
      </c>
      <c r="BZ65">
        <v>6.7844459999999995E-2</v>
      </c>
      <c r="CA65">
        <v>0.12739937000000001</v>
      </c>
      <c r="CB65">
        <v>-0.15455986999999999</v>
      </c>
      <c r="CC65">
        <v>-0.37164015</v>
      </c>
      <c r="CD65">
        <v>0.32441272999999998</v>
      </c>
      <c r="CE65">
        <v>0.13279838999999999</v>
      </c>
      <c r="CF65">
        <v>7.4302010000000002E-2</v>
      </c>
      <c r="CG65">
        <v>-0.13018441</v>
      </c>
      <c r="CH65">
        <v>0.26981433999999999</v>
      </c>
      <c r="CI65">
        <v>0.41415274000000002</v>
      </c>
      <c r="CJ65">
        <v>0.11571691000000001</v>
      </c>
      <c r="CK65">
        <v>0.18894245000000001</v>
      </c>
      <c r="CL65">
        <v>0.19330326</v>
      </c>
      <c r="CM65">
        <v>-6.1727956E-2</v>
      </c>
      <c r="CN65">
        <v>-4.2464460000000001E-3</v>
      </c>
      <c r="CO65">
        <v>-6.3176739999999995E-2</v>
      </c>
      <c r="CP65">
        <v>0.21368570000000001</v>
      </c>
      <c r="CQ65">
        <v>-5.9330991999999999E-2</v>
      </c>
      <c r="CR65">
        <v>-0.32107746999999998</v>
      </c>
      <c r="CS65">
        <v>-0.26015811999999999</v>
      </c>
      <c r="CT65">
        <v>-0.13975404</v>
      </c>
      <c r="CU65">
        <v>-0.109485455</v>
      </c>
      <c r="CV65">
        <v>7.1234990000000002E-3</v>
      </c>
      <c r="CW65">
        <v>7.2775779999999998E-2</v>
      </c>
      <c r="CX65">
        <v>0.13329311999999999</v>
      </c>
      <c r="CY65">
        <v>-4.3232486000000001E-2</v>
      </c>
      <c r="CZ65">
        <v>-0.119547345</v>
      </c>
      <c r="DA65">
        <v>-6.2085460000000002E-2</v>
      </c>
      <c r="DB65">
        <v>-0.60639549999999998</v>
      </c>
      <c r="DC65">
        <v>-0.28907040000000001</v>
      </c>
      <c r="DD65">
        <v>-5.5542386999999999E-2</v>
      </c>
      <c r="DE65">
        <v>-0.13753716999999999</v>
      </c>
      <c r="DF65">
        <v>1.9002492999999999E-2</v>
      </c>
      <c r="DG65">
        <v>4.6885700000000002E-2</v>
      </c>
      <c r="DH65">
        <v>-0.1877643</v>
      </c>
      <c r="DI65">
        <v>-9.5991080000000006E-2</v>
      </c>
      <c r="DJ65">
        <v>-7.0860419999999993E-2</v>
      </c>
      <c r="DK65">
        <v>0.10494473999999999</v>
      </c>
      <c r="DL65">
        <v>-0.13445025999999999</v>
      </c>
      <c r="DM65">
        <v>6.0845049999999998E-2</v>
      </c>
      <c r="DN65">
        <v>-0.10925121</v>
      </c>
      <c r="DO65">
        <v>-0.18458435000000001</v>
      </c>
      <c r="DP65">
        <v>-2.6472539999999999E-3</v>
      </c>
      <c r="DQ65">
        <v>0.19911274000000001</v>
      </c>
      <c r="DR65">
        <v>-6.3822459999999998E-2</v>
      </c>
      <c r="DS65">
        <v>-0.30450606000000002</v>
      </c>
      <c r="DT65">
        <v>-5.1099840000000001E-2</v>
      </c>
      <c r="DU65">
        <v>0.17964081000000001</v>
      </c>
      <c r="DV65">
        <v>-8.704133E-2</v>
      </c>
      <c r="DW65">
        <v>6.4124630000000002E-2</v>
      </c>
      <c r="DX65">
        <v>-0.20215848</v>
      </c>
      <c r="DY65">
        <v>0.11323220000000001</v>
      </c>
      <c r="DZ65">
        <v>-0.10353622</v>
      </c>
    </row>
    <row r="66" spans="1:130" x14ac:dyDescent="0.3">
      <c r="A66">
        <f>Board!$D$7</f>
        <v>0</v>
      </c>
      <c r="C66">
        <v>-1.9862207E-2</v>
      </c>
      <c r="D66">
        <v>0.18376933000000001</v>
      </c>
      <c r="E66">
        <v>-1.4340769999999999E-2</v>
      </c>
      <c r="F66">
        <v>0.109093934</v>
      </c>
      <c r="G66">
        <v>1.0813582E-2</v>
      </c>
      <c r="H66">
        <v>-3.7799349999999999E-3</v>
      </c>
      <c r="I66">
        <v>6.6140950000000004E-2</v>
      </c>
      <c r="J66">
        <v>-0.10348504</v>
      </c>
      <c r="K66">
        <v>-0.17921599999999999</v>
      </c>
      <c r="L66">
        <v>-2.9986883999999998E-2</v>
      </c>
      <c r="M66">
        <v>-0.21444626</v>
      </c>
      <c r="N66">
        <v>0.1978403</v>
      </c>
      <c r="O66">
        <v>-0.13458618999999999</v>
      </c>
      <c r="P66">
        <v>1.4469926E-3</v>
      </c>
      <c r="Q66">
        <v>-0.68143989999999999</v>
      </c>
      <c r="R66">
        <v>0.20324018999999999</v>
      </c>
      <c r="S66">
        <v>0.14007996</v>
      </c>
      <c r="T66">
        <v>0.16478229</v>
      </c>
      <c r="U66">
        <v>-1.2226447999999999E-2</v>
      </c>
      <c r="V66">
        <v>-2.4151395999999999E-2</v>
      </c>
      <c r="W66">
        <v>-0.30572185000000002</v>
      </c>
      <c r="X66">
        <v>9.9706320000000001E-2</v>
      </c>
      <c r="Y66">
        <v>6.7678269999999999E-2</v>
      </c>
      <c r="Z66">
        <v>2.6285240000000001E-2</v>
      </c>
      <c r="AA66">
        <v>-0.29379123000000001</v>
      </c>
      <c r="AB66">
        <v>-0.11323664</v>
      </c>
      <c r="AC66">
        <v>-0.31959298000000003</v>
      </c>
      <c r="AD66">
        <v>-0.31471192999999997</v>
      </c>
      <c r="AE66">
        <v>-0.16499378000000001</v>
      </c>
      <c r="AF66">
        <v>-0.35112326999999999</v>
      </c>
      <c r="AG66">
        <v>-4.9378234999999999E-2</v>
      </c>
      <c r="AH66">
        <v>-4.4828819999999998E-2</v>
      </c>
      <c r="AI66">
        <v>-0.15351266999999999</v>
      </c>
      <c r="AJ66">
        <v>4.7402519999999997E-2</v>
      </c>
      <c r="AK66">
        <v>6.0150164999999998E-2</v>
      </c>
      <c r="AL66">
        <v>-0.13638742000000001</v>
      </c>
      <c r="AM66">
        <v>0.24269136999999999</v>
      </c>
      <c r="AN66">
        <v>0.14951909999999999</v>
      </c>
      <c r="AO66">
        <v>0.32334930000000001</v>
      </c>
      <c r="AP66">
        <v>-0.17550648999999999</v>
      </c>
      <c r="AQ66">
        <v>8.8313080000000002E-2</v>
      </c>
      <c r="AR66">
        <v>7.3530570000000003E-2</v>
      </c>
      <c r="AS66">
        <v>-0.12181602399999999</v>
      </c>
      <c r="AT66">
        <v>-5.7668406999999998E-2</v>
      </c>
      <c r="AU66">
        <v>-6.275791E-2</v>
      </c>
      <c r="AV66">
        <v>-0.13457698000000001</v>
      </c>
      <c r="AW66">
        <v>-0.24213346999999999</v>
      </c>
      <c r="AX66">
        <v>0.17275918000000001</v>
      </c>
      <c r="AY66">
        <v>0.12466439</v>
      </c>
      <c r="AZ66">
        <v>-0.1235067</v>
      </c>
      <c r="BA66">
        <v>1.255102E-2</v>
      </c>
      <c r="BB66">
        <v>-7.2878680000000001E-2</v>
      </c>
      <c r="BC66">
        <v>-0.10456966600000001</v>
      </c>
      <c r="BD66">
        <v>-0.21680563999999999</v>
      </c>
      <c r="BE66">
        <v>-9.9006579999999997E-2</v>
      </c>
      <c r="BF66">
        <v>-0.36242455000000001</v>
      </c>
      <c r="BG66">
        <v>0.16249573</v>
      </c>
      <c r="BH66">
        <v>5.4032299999999998E-2</v>
      </c>
      <c r="BI66">
        <v>-0.13381028</v>
      </c>
      <c r="BJ66">
        <v>-6.3190800000000005E-2</v>
      </c>
      <c r="BK66">
        <v>0.21645494000000001</v>
      </c>
      <c r="BL66">
        <v>-1.7908480000000001E-2</v>
      </c>
      <c r="BM66">
        <v>0.17862222</v>
      </c>
      <c r="BN66">
        <v>0.239506</v>
      </c>
      <c r="BO66">
        <v>-0.35492380000000001</v>
      </c>
      <c r="BP66">
        <v>-0.14040311999999999</v>
      </c>
      <c r="BQ66">
        <v>-4.5007610000000003E-2</v>
      </c>
      <c r="BR66">
        <v>-8.8193839999999996E-2</v>
      </c>
      <c r="BS66">
        <v>-0.20112853</v>
      </c>
      <c r="BT66">
        <v>-0.12869842000000001</v>
      </c>
      <c r="BU66">
        <v>-0.36007299999999998</v>
      </c>
      <c r="BV66">
        <v>-0.12385693</v>
      </c>
      <c r="BW66">
        <v>-0.40653420000000001</v>
      </c>
      <c r="BX66">
        <v>-8.0965229999999999E-2</v>
      </c>
      <c r="BY66">
        <v>1.786445E-2</v>
      </c>
      <c r="BZ66">
        <v>-5.8641046000000002E-2</v>
      </c>
      <c r="CA66">
        <v>7.5992890000000004E-3</v>
      </c>
      <c r="CB66">
        <v>-0.57341489999999995</v>
      </c>
      <c r="CC66">
        <v>-0.24765355999999999</v>
      </c>
      <c r="CD66">
        <v>-2.6877333999999999E-2</v>
      </c>
      <c r="CE66">
        <v>0.10001527</v>
      </c>
      <c r="CF66">
        <v>7.8487769999999995E-3</v>
      </c>
      <c r="CG66">
        <v>0.11535672</v>
      </c>
      <c r="CH66">
        <v>0.18044083999999999</v>
      </c>
      <c r="CI66">
        <v>0.12737030999999999</v>
      </c>
      <c r="CJ66">
        <v>0.23735970000000001</v>
      </c>
      <c r="CK66">
        <v>0.17033530999999999</v>
      </c>
      <c r="CL66">
        <v>0.29969161999999999</v>
      </c>
      <c r="CM66">
        <v>8.7052606000000005E-2</v>
      </c>
      <c r="CN66">
        <v>3.2306614999999997E-2</v>
      </c>
      <c r="CO66">
        <v>-3.0628632999999999E-2</v>
      </c>
      <c r="CP66">
        <v>9.4198480000000001E-2</v>
      </c>
      <c r="CQ66">
        <v>8.080358E-2</v>
      </c>
      <c r="CR66">
        <v>-0.33412180000000002</v>
      </c>
      <c r="CS66">
        <v>-0.18650912</v>
      </c>
      <c r="CT66">
        <v>-0.13144827000000001</v>
      </c>
      <c r="CU66">
        <v>-0.12482907</v>
      </c>
      <c r="CV66">
        <v>-2.0183240000000002E-2</v>
      </c>
      <c r="CW66">
        <v>-6.8518800000000005E-2</v>
      </c>
      <c r="CX66">
        <v>-0.13972293999999999</v>
      </c>
      <c r="CY66">
        <v>3.1646096999999999E-3</v>
      </c>
      <c r="CZ66">
        <v>-0.14890717000000001</v>
      </c>
      <c r="DA66">
        <v>4.9371812000000001E-2</v>
      </c>
      <c r="DB66">
        <v>-1.1628623</v>
      </c>
      <c r="DC66">
        <v>-0.23563841999999999</v>
      </c>
      <c r="DD66">
        <v>2.7248822000000003E-4</v>
      </c>
      <c r="DE66">
        <v>-0.32501158000000002</v>
      </c>
      <c r="DF66">
        <v>0.22503198999999999</v>
      </c>
      <c r="DG66">
        <v>-4.2483849999999997E-2</v>
      </c>
      <c r="DH66">
        <v>0.102027364</v>
      </c>
      <c r="DI66">
        <v>0.34455330000000001</v>
      </c>
      <c r="DJ66">
        <v>0.30058469999999998</v>
      </c>
      <c r="DK66">
        <v>0.12907431999999999</v>
      </c>
      <c r="DL66">
        <v>-4.3738770000000003E-2</v>
      </c>
      <c r="DM66">
        <v>-1.9336909999999999E-2</v>
      </c>
      <c r="DN66">
        <v>-0.2386614</v>
      </c>
      <c r="DO66">
        <v>3.3020004999999998E-2</v>
      </c>
      <c r="DP66">
        <v>7.8150819999999996E-2</v>
      </c>
      <c r="DQ66">
        <v>-2.0691775999999999E-3</v>
      </c>
      <c r="DR66">
        <v>-6.1832550000000003E-3</v>
      </c>
      <c r="DS66">
        <v>-0.41000956</v>
      </c>
      <c r="DT66">
        <v>-8.9600384000000005E-2</v>
      </c>
      <c r="DU66">
        <v>6.7268620000000001E-2</v>
      </c>
      <c r="DV66">
        <v>-0.27958759999999999</v>
      </c>
      <c r="DW66">
        <v>9.6825789999999995E-2</v>
      </c>
      <c r="DX66">
        <v>-0.71867590000000003</v>
      </c>
      <c r="DY66">
        <v>0.22679883000000001</v>
      </c>
      <c r="DZ66">
        <v>-0.24530166</v>
      </c>
    </row>
    <row r="67" spans="1:130" x14ac:dyDescent="0.3">
      <c r="A67">
        <f>Board!$E$7</f>
        <v>0</v>
      </c>
      <c r="C67">
        <v>-9.6109470000000002E-2</v>
      </c>
      <c r="D67">
        <v>0.10550076</v>
      </c>
      <c r="E67">
        <v>-6.2253990000000002E-2</v>
      </c>
      <c r="F67">
        <v>0.24738760000000001</v>
      </c>
      <c r="G67">
        <v>0.15071382999999999</v>
      </c>
      <c r="H67">
        <v>7.2535849999999999E-2</v>
      </c>
      <c r="I67">
        <v>0.18362962999999999</v>
      </c>
      <c r="J67">
        <v>-8.010631E-2</v>
      </c>
      <c r="K67">
        <v>2.9376599999999999E-2</v>
      </c>
      <c r="L67">
        <v>1.0998933000000001E-2</v>
      </c>
      <c r="M67">
        <v>-0.1792561</v>
      </c>
      <c r="N67">
        <v>4.9194935999999998E-3</v>
      </c>
      <c r="O67">
        <v>-0.43827875999999999</v>
      </c>
      <c r="P67">
        <v>0.2431701</v>
      </c>
      <c r="Q67">
        <v>-0.81409529999999997</v>
      </c>
      <c r="R67">
        <v>-0.1075658</v>
      </c>
      <c r="S67">
        <v>8.4952050000000005E-3</v>
      </c>
      <c r="T67">
        <v>6.5231590000000006E-2</v>
      </c>
      <c r="U67">
        <v>-8.3671889999999999E-2</v>
      </c>
      <c r="V67">
        <v>0.12505424000000001</v>
      </c>
      <c r="W67">
        <v>-0.29216847000000001</v>
      </c>
      <c r="X67">
        <v>0.12745233</v>
      </c>
      <c r="Y67">
        <v>0.10814561</v>
      </c>
      <c r="Z67">
        <v>5.8209739999999996E-3</v>
      </c>
      <c r="AA67">
        <v>-0.27494600000000002</v>
      </c>
      <c r="AB67">
        <v>0.10596862</v>
      </c>
      <c r="AC67">
        <v>-0.27894374999999999</v>
      </c>
      <c r="AD67">
        <v>-0.44974059999999999</v>
      </c>
      <c r="AE67">
        <v>-0.12706219999999999</v>
      </c>
      <c r="AF67">
        <v>7.7869439999999998E-2</v>
      </c>
      <c r="AG67">
        <v>0.18455278999999999</v>
      </c>
      <c r="AH67">
        <v>-9.698379E-2</v>
      </c>
      <c r="AI67">
        <v>-0.28123355</v>
      </c>
      <c r="AJ67">
        <v>0.20923386999999999</v>
      </c>
      <c r="AK67">
        <v>-4.5730773000000002E-2</v>
      </c>
      <c r="AL67">
        <v>-0.14676676999999999</v>
      </c>
      <c r="AM67">
        <v>0.10320477</v>
      </c>
      <c r="AN67">
        <v>0.14800082000000001</v>
      </c>
      <c r="AO67">
        <v>0.16795389999999999</v>
      </c>
      <c r="AP67">
        <v>-1.561158E-2</v>
      </c>
      <c r="AQ67">
        <v>0.13394174</v>
      </c>
      <c r="AR67">
        <v>-5.1229536999999999E-2</v>
      </c>
      <c r="AS67">
        <v>-0.22536473000000001</v>
      </c>
      <c r="AT67">
        <v>-6.3723590000000002E-3</v>
      </c>
      <c r="AU67">
        <v>3.2343872000000003E-2</v>
      </c>
      <c r="AV67">
        <v>-1.662926E-2</v>
      </c>
      <c r="AW67">
        <v>-5.0970420000000002E-2</v>
      </c>
      <c r="AX67">
        <v>0.19319612</v>
      </c>
      <c r="AY67">
        <v>-6.6250009999999998E-2</v>
      </c>
      <c r="AZ67">
        <v>2.7099958E-2</v>
      </c>
      <c r="BA67">
        <v>0.17890792999999999</v>
      </c>
      <c r="BB67">
        <v>6.0785619999999999E-2</v>
      </c>
      <c r="BC67">
        <v>-1.2524005E-2</v>
      </c>
      <c r="BD67">
        <v>-5.7622325000000002E-2</v>
      </c>
      <c r="BE67">
        <v>0.12070514</v>
      </c>
      <c r="BF67">
        <v>3.1593599999999999E-2</v>
      </c>
      <c r="BG67">
        <v>0.19817828000000001</v>
      </c>
      <c r="BH67">
        <v>0.13611715999999999</v>
      </c>
      <c r="BI67">
        <v>-0.39665934000000003</v>
      </c>
      <c r="BJ67">
        <v>-6.8938620000000006E-2</v>
      </c>
      <c r="BK67">
        <v>0.10043949000000001</v>
      </c>
      <c r="BL67">
        <v>0.16488129000000001</v>
      </c>
      <c r="BM67">
        <v>0.21227762</v>
      </c>
      <c r="BN67">
        <v>8.2232819999999998E-2</v>
      </c>
      <c r="BO67">
        <v>-2.9233550000000001E-2</v>
      </c>
      <c r="BP67">
        <v>3.1943056999999997E-2</v>
      </c>
      <c r="BQ67">
        <v>-4.1060265999999998E-3</v>
      </c>
      <c r="BR67">
        <v>-0.31514207</v>
      </c>
      <c r="BS67">
        <v>-0.1148338</v>
      </c>
      <c r="BT67">
        <v>7.4759339999999994E-2</v>
      </c>
      <c r="BU67">
        <v>-0.29340366000000001</v>
      </c>
      <c r="BV67">
        <v>5.1813274999999999E-2</v>
      </c>
      <c r="BW67">
        <v>-0.25263342</v>
      </c>
      <c r="BX67">
        <v>3.0865416E-2</v>
      </c>
      <c r="BY67">
        <v>0.11305431000000001</v>
      </c>
      <c r="BZ67">
        <v>-5.5655360000000001E-2</v>
      </c>
      <c r="CA67">
        <v>0.17299829999999999</v>
      </c>
      <c r="CB67">
        <v>-0.44174600000000003</v>
      </c>
      <c r="CC67">
        <v>0.23322736999999999</v>
      </c>
      <c r="CD67">
        <v>-0.17286029999999999</v>
      </c>
      <c r="CE67">
        <v>0.25324753</v>
      </c>
      <c r="CF67">
        <v>2.7890870000000002E-2</v>
      </c>
      <c r="CG67">
        <v>0.17251411</v>
      </c>
      <c r="CH67">
        <v>-9.4105599999999998E-2</v>
      </c>
      <c r="CI67">
        <v>-5.0231215000000003E-2</v>
      </c>
      <c r="CJ67">
        <v>8.3260360000000005E-2</v>
      </c>
      <c r="CK67">
        <v>0.27112146999999998</v>
      </c>
      <c r="CL67">
        <v>0.10101</v>
      </c>
      <c r="CM67">
        <v>-1.4476218000000001E-2</v>
      </c>
      <c r="CN67">
        <v>-8.6890999999999996E-2</v>
      </c>
      <c r="CO67">
        <v>-5.5947490000000002E-2</v>
      </c>
      <c r="CP67">
        <v>0.18381467000000001</v>
      </c>
      <c r="CQ67">
        <v>-1.2717065E-2</v>
      </c>
      <c r="CR67">
        <v>6.1233006000000001E-3</v>
      </c>
      <c r="CS67">
        <v>-1.6981619999999999E-2</v>
      </c>
      <c r="CT67">
        <v>-8.8262069999999998E-2</v>
      </c>
      <c r="CU67">
        <v>-0.27243412</v>
      </c>
      <c r="CV67">
        <v>0.10647469</v>
      </c>
      <c r="CW67">
        <v>-6.7398360000000004E-2</v>
      </c>
      <c r="CX67">
        <v>3.8632166000000003E-2</v>
      </c>
      <c r="CY67">
        <v>0.10084016</v>
      </c>
      <c r="CZ67">
        <v>-0.13528146999999999</v>
      </c>
      <c r="DA67">
        <v>0.11934597</v>
      </c>
      <c r="DB67">
        <v>-1.1267792000000001</v>
      </c>
      <c r="DC67">
        <v>-6.3627020000000006E-2</v>
      </c>
      <c r="DD67">
        <v>9.5253790000000005E-2</v>
      </c>
      <c r="DE67">
        <v>-0.19743605</v>
      </c>
      <c r="DF67">
        <v>0.1430727</v>
      </c>
      <c r="DG67">
        <v>-0.21449007</v>
      </c>
      <c r="DH67">
        <v>0.14261921999999999</v>
      </c>
      <c r="DI67">
        <v>0.20376715000000001</v>
      </c>
      <c r="DJ67">
        <v>0.14413875000000001</v>
      </c>
      <c r="DK67">
        <v>-3.6434877999999997E-2</v>
      </c>
      <c r="DL67">
        <v>1.7606301000000001E-2</v>
      </c>
      <c r="DM67">
        <v>0.15870602</v>
      </c>
      <c r="DN67">
        <v>-0.20515142</v>
      </c>
      <c r="DO67">
        <v>0.18178733</v>
      </c>
      <c r="DP67">
        <v>1.1883842E-2</v>
      </c>
      <c r="DQ67">
        <v>0.13403676</v>
      </c>
      <c r="DR67">
        <v>-0.10301038999999999</v>
      </c>
      <c r="DS67">
        <v>-0.19124917999999999</v>
      </c>
      <c r="DT67">
        <v>0.15884988</v>
      </c>
      <c r="DU67">
        <v>0.16983168000000001</v>
      </c>
      <c r="DV67">
        <v>-0.31930298000000001</v>
      </c>
      <c r="DW67">
        <v>0.22782764999999999</v>
      </c>
      <c r="DX67">
        <v>-0.77721779999999996</v>
      </c>
      <c r="DY67">
        <v>0.38604136999999999</v>
      </c>
      <c r="DZ67">
        <v>3.3572886000000003E-2</v>
      </c>
    </row>
    <row r="68" spans="1:130" x14ac:dyDescent="0.3">
      <c r="A68">
        <f>Board!$F$7</f>
        <v>0</v>
      </c>
      <c r="C68">
        <v>1.0946489E-2</v>
      </c>
      <c r="D68">
        <v>0.19195047000000001</v>
      </c>
      <c r="E68">
        <v>-1.5722841000000001E-2</v>
      </c>
      <c r="F68">
        <v>0.35024222999999999</v>
      </c>
      <c r="G68">
        <v>0.12189177</v>
      </c>
      <c r="H68">
        <v>-4.889392E-2</v>
      </c>
      <c r="I68">
        <v>0.32132759999999999</v>
      </c>
      <c r="J68">
        <v>7.2051370000000003E-3</v>
      </c>
      <c r="K68">
        <v>9.2562519999999995E-2</v>
      </c>
      <c r="L68">
        <v>-1.6177371E-3</v>
      </c>
      <c r="M68">
        <v>5.5067280000000003E-2</v>
      </c>
      <c r="N68">
        <v>-0.32330203000000002</v>
      </c>
      <c r="O68">
        <v>-0.40577078</v>
      </c>
      <c r="P68">
        <v>0.21753420000000001</v>
      </c>
      <c r="Q68">
        <v>-0.52954643999999995</v>
      </c>
      <c r="R68">
        <v>-1.743772E-2</v>
      </c>
      <c r="S68">
        <v>-9.2560870000000003E-2</v>
      </c>
      <c r="T68">
        <v>1.0614587E-2</v>
      </c>
      <c r="U68">
        <v>0.25139869999999997</v>
      </c>
      <c r="V68">
        <v>0.33561105000000002</v>
      </c>
      <c r="W68">
        <v>-0.22746806</v>
      </c>
      <c r="X68">
        <v>3.8864206999999998E-2</v>
      </c>
      <c r="Y68">
        <v>-0.20421404000000001</v>
      </c>
      <c r="Z68">
        <v>-8.5227369999999997E-2</v>
      </c>
      <c r="AA68">
        <v>-0.21392804000000001</v>
      </c>
      <c r="AB68">
        <v>5.4555275E-2</v>
      </c>
      <c r="AC68">
        <v>-0.19544998</v>
      </c>
      <c r="AD68">
        <v>-0.60203916000000002</v>
      </c>
      <c r="AE68">
        <v>1.0958523499999999E-2</v>
      </c>
      <c r="AF68">
        <v>-5.7586484E-2</v>
      </c>
      <c r="AG68">
        <v>0.105491295</v>
      </c>
      <c r="AH68">
        <v>1.15049165E-2</v>
      </c>
      <c r="AI68">
        <v>-0.25146908000000001</v>
      </c>
      <c r="AJ68">
        <v>0.14850958</v>
      </c>
      <c r="AK68">
        <v>0.12739664000000001</v>
      </c>
      <c r="AL68">
        <v>-0.11544241</v>
      </c>
      <c r="AM68">
        <v>-0.10639227</v>
      </c>
      <c r="AN68">
        <v>0.16009988</v>
      </c>
      <c r="AO68">
        <v>0.1912508</v>
      </c>
      <c r="AP68">
        <v>2.2056903999999999E-2</v>
      </c>
      <c r="AQ68">
        <v>0.19479020999999999</v>
      </c>
      <c r="AR68">
        <v>4.6471209999999999E-2</v>
      </c>
      <c r="AS68">
        <v>-0.12277016</v>
      </c>
      <c r="AT68">
        <v>-2.4626736999999999E-2</v>
      </c>
      <c r="AU68">
        <v>5.8385085000000003E-2</v>
      </c>
      <c r="AV68">
        <v>0.19240436999999999</v>
      </c>
      <c r="AW68">
        <v>0.11579956</v>
      </c>
      <c r="AX68">
        <v>-5.7073816999999999E-2</v>
      </c>
      <c r="AY68">
        <v>-0.14069875000000001</v>
      </c>
      <c r="AZ68">
        <v>-0.18443387999999999</v>
      </c>
      <c r="BA68">
        <v>-0.12313457</v>
      </c>
      <c r="BB68">
        <v>5.1022326000000002E-3</v>
      </c>
      <c r="BC68">
        <v>0.15762161999999999</v>
      </c>
      <c r="BD68">
        <v>0.15770444</v>
      </c>
      <c r="BE68">
        <v>-6.5102259999999995E-2</v>
      </c>
      <c r="BF68">
        <v>-7.8077060000000004E-2</v>
      </c>
      <c r="BG68">
        <v>0.15486763000000001</v>
      </c>
      <c r="BH68">
        <v>1.3940176E-3</v>
      </c>
      <c r="BI68">
        <v>-0.19244460999999999</v>
      </c>
      <c r="BJ68">
        <v>2.5362533999999999E-2</v>
      </c>
      <c r="BK68">
        <v>-6.6191089999999998E-3</v>
      </c>
      <c r="BL68">
        <v>0.14869207000000001</v>
      </c>
      <c r="BM68">
        <v>0.36627602999999997</v>
      </c>
      <c r="BN68">
        <v>6.3395583999999996E-3</v>
      </c>
      <c r="BO68">
        <v>-0.10438361</v>
      </c>
      <c r="BP68">
        <v>0.20681515</v>
      </c>
      <c r="BQ68">
        <v>7.8584619999999994E-2</v>
      </c>
      <c r="BR68">
        <v>-0.27058389999999999</v>
      </c>
      <c r="BS68">
        <v>2.4398822000000001E-2</v>
      </c>
      <c r="BT68">
        <v>0.16627826000000001</v>
      </c>
      <c r="BU68">
        <v>0.26990649999999999</v>
      </c>
      <c r="BV68">
        <v>0.28279206000000001</v>
      </c>
      <c r="BW68">
        <v>0.21008740000000001</v>
      </c>
      <c r="BX68">
        <v>9.1891399999999998E-2</v>
      </c>
      <c r="BY68">
        <v>0.29547885000000002</v>
      </c>
      <c r="BZ68">
        <v>-0.3050987</v>
      </c>
      <c r="CA68">
        <v>4.1899798000000002E-3</v>
      </c>
      <c r="CB68">
        <v>-0.32092407000000001</v>
      </c>
      <c r="CC68">
        <v>0.32048454999999998</v>
      </c>
      <c r="CD68">
        <v>-6.8912215999999998E-2</v>
      </c>
      <c r="CE68">
        <v>9.1393000000000002E-2</v>
      </c>
      <c r="CF68">
        <v>-0.113168925</v>
      </c>
      <c r="CG68">
        <v>0.12213749</v>
      </c>
      <c r="CH68">
        <v>-6.1953317000000001E-2</v>
      </c>
      <c r="CI68">
        <v>-0.14553341</v>
      </c>
      <c r="CJ68">
        <v>-0.37222793999999998</v>
      </c>
      <c r="CK68">
        <v>0.14307259</v>
      </c>
      <c r="CL68">
        <v>4.0867506999999997E-2</v>
      </c>
      <c r="CM68">
        <v>0.119917564</v>
      </c>
      <c r="CN68">
        <v>-0.23606532999999999</v>
      </c>
      <c r="CO68">
        <v>0.10005835</v>
      </c>
      <c r="CP68">
        <v>-3.5687695999999998E-2</v>
      </c>
      <c r="CQ68">
        <v>5.0978324999999998E-2</v>
      </c>
      <c r="CR68">
        <v>1.4700645E-2</v>
      </c>
      <c r="CS68">
        <v>-7.4293873999999996E-2</v>
      </c>
      <c r="CT68">
        <v>0.14907089000000001</v>
      </c>
      <c r="CU68">
        <v>-1.8544838000000001E-2</v>
      </c>
      <c r="CV68">
        <v>-9.5121965000000003E-2</v>
      </c>
      <c r="CW68">
        <v>-0.19943361000000001</v>
      </c>
      <c r="CX68">
        <v>-3.935346E-2</v>
      </c>
      <c r="CY68">
        <v>-4.73791E-2</v>
      </c>
      <c r="CZ68">
        <v>-8.6943599999999996E-2</v>
      </c>
      <c r="DA68">
        <v>0.16502502999999999</v>
      </c>
      <c r="DB68">
        <v>-0.50417380000000001</v>
      </c>
      <c r="DC68">
        <v>4.5361705000000002E-2</v>
      </c>
      <c r="DD68">
        <v>3.6846365999999998E-2</v>
      </c>
      <c r="DE68">
        <v>0.13073021000000001</v>
      </c>
      <c r="DF68">
        <v>0.28901791999999998</v>
      </c>
      <c r="DG68">
        <v>-0.35525923999999998</v>
      </c>
      <c r="DH68">
        <v>0.29748123999999998</v>
      </c>
      <c r="DI68">
        <v>1.7551476E-2</v>
      </c>
      <c r="DJ68">
        <v>8.2858965000000007E-2</v>
      </c>
      <c r="DK68">
        <v>-0.17596827000000001</v>
      </c>
      <c r="DL68">
        <v>0.14195488000000001</v>
      </c>
      <c r="DM68">
        <v>0.34818601999999998</v>
      </c>
      <c r="DN68">
        <v>3.1388220000000001E-2</v>
      </c>
      <c r="DO68">
        <v>7.747047E-2</v>
      </c>
      <c r="DP68">
        <v>-8.4088969999999999E-2</v>
      </c>
      <c r="DQ68">
        <v>-0.10150882</v>
      </c>
      <c r="DR68">
        <v>-4.3237696999999999E-2</v>
      </c>
      <c r="DS68">
        <v>-7.3421410000000006E-2</v>
      </c>
      <c r="DT68">
        <v>-2.4488939000000001E-2</v>
      </c>
      <c r="DU68">
        <v>3.9822551999999997E-2</v>
      </c>
      <c r="DV68">
        <v>7.0318409999999998E-2</v>
      </c>
      <c r="DW68">
        <v>0.25946950000000002</v>
      </c>
      <c r="DX68">
        <v>-0.9084681</v>
      </c>
      <c r="DY68">
        <v>0.50011253</v>
      </c>
      <c r="DZ68">
        <v>0.20767910000000001</v>
      </c>
    </row>
    <row r="69" spans="1:130" x14ac:dyDescent="0.3">
      <c r="A69">
        <f>Board!$G$7</f>
        <v>0</v>
      </c>
      <c r="C69">
        <v>9.6656225999999998E-2</v>
      </c>
      <c r="D69">
        <v>0.16830537000000001</v>
      </c>
      <c r="E69">
        <v>0.22661619</v>
      </c>
      <c r="F69">
        <v>-0.27342206000000002</v>
      </c>
      <c r="G69">
        <v>0.16068082</v>
      </c>
      <c r="H69">
        <v>0.16297310000000001</v>
      </c>
      <c r="I69">
        <v>0.20090701999999999</v>
      </c>
      <c r="J69">
        <v>0.25625967999999999</v>
      </c>
      <c r="K69">
        <v>5.7041157000000002E-2</v>
      </c>
      <c r="L69">
        <v>0.24867334999999999</v>
      </c>
      <c r="M69">
        <v>-3.4982037000000001E-2</v>
      </c>
      <c r="N69">
        <v>-0.26322496000000001</v>
      </c>
      <c r="O69">
        <v>-6.3492350000000003E-2</v>
      </c>
      <c r="P69">
        <v>-2.7797153000000002E-2</v>
      </c>
      <c r="Q69">
        <v>-0.24067071000000001</v>
      </c>
      <c r="R69">
        <v>-0.15576177999999999</v>
      </c>
      <c r="S69">
        <v>-0.21086368</v>
      </c>
      <c r="T69">
        <v>0.29620424000000001</v>
      </c>
      <c r="U69">
        <v>-6.9227700000000003E-2</v>
      </c>
      <c r="V69">
        <v>0.14142333000000001</v>
      </c>
      <c r="W69">
        <v>-0.21090032</v>
      </c>
      <c r="X69">
        <v>-0.12106561</v>
      </c>
      <c r="Y69">
        <v>-0.25750195999999997</v>
      </c>
      <c r="Z69">
        <v>-0.29613139999999999</v>
      </c>
      <c r="AA69">
        <v>0.14855225</v>
      </c>
      <c r="AB69">
        <v>0.16304062</v>
      </c>
      <c r="AC69">
        <v>-0.14633611999999999</v>
      </c>
      <c r="AD69">
        <v>-0.83916060000000003</v>
      </c>
      <c r="AE69">
        <v>0.12221547000000001</v>
      </c>
      <c r="AF69">
        <v>4.809691E-2</v>
      </c>
      <c r="AG69">
        <v>0.23575963</v>
      </c>
      <c r="AH69">
        <v>-4.7058836E-2</v>
      </c>
      <c r="AI69">
        <v>-2.7794666999999999E-2</v>
      </c>
      <c r="AJ69">
        <v>0.17411705999999999</v>
      </c>
      <c r="AK69">
        <v>4.4294781999999998E-2</v>
      </c>
      <c r="AL69">
        <v>-0.21794939999999999</v>
      </c>
      <c r="AM69">
        <v>7.7831739999999996E-2</v>
      </c>
      <c r="AN69">
        <v>4.4209999999999999E-2</v>
      </c>
      <c r="AO69">
        <v>-5.7999710000000003E-2</v>
      </c>
      <c r="AP69">
        <v>0.16821279</v>
      </c>
      <c r="AQ69">
        <v>0.16755238</v>
      </c>
      <c r="AR69">
        <v>1.21627655E-2</v>
      </c>
      <c r="AS69">
        <v>0.32362488</v>
      </c>
      <c r="AT69">
        <v>0.20931079999999999</v>
      </c>
      <c r="AU69">
        <v>-0.28580967000000002</v>
      </c>
      <c r="AV69">
        <v>0.21575437</v>
      </c>
      <c r="AW69">
        <v>-0.20248626</v>
      </c>
      <c r="AX69">
        <v>-9.7038680000000002E-2</v>
      </c>
      <c r="AY69">
        <v>4.4719945999999997E-2</v>
      </c>
      <c r="AZ69">
        <v>-0.45216941999999999</v>
      </c>
      <c r="BA69">
        <v>-0.23727223</v>
      </c>
      <c r="BB69">
        <v>0.13330976999999999</v>
      </c>
      <c r="BC69">
        <v>0.20323637</v>
      </c>
      <c r="BD69">
        <v>7.2706679999999996E-2</v>
      </c>
      <c r="BE69">
        <v>-0.11812787499999999</v>
      </c>
      <c r="BF69">
        <v>-0.24290837000000001</v>
      </c>
      <c r="BG69">
        <v>1.9817444E-2</v>
      </c>
      <c r="BH69">
        <v>-0.31805876</v>
      </c>
      <c r="BI69">
        <v>4.5991762999999998E-2</v>
      </c>
      <c r="BJ69">
        <v>-5.3574779999999997E-3</v>
      </c>
      <c r="BK69">
        <v>3.9147964000000001E-4</v>
      </c>
      <c r="BL69">
        <v>0.24162696</v>
      </c>
      <c r="BM69">
        <v>3.7959149999999997E-2</v>
      </c>
      <c r="BN69">
        <v>-0.18028964</v>
      </c>
      <c r="BO69">
        <v>0.13774592999999999</v>
      </c>
      <c r="BP69">
        <v>0.19673318000000001</v>
      </c>
      <c r="BQ69">
        <v>0.16951355000000001</v>
      </c>
      <c r="BR69">
        <v>-6.2080383000000003E-2</v>
      </c>
      <c r="BS69">
        <v>0.31510897999999998</v>
      </c>
      <c r="BT69">
        <v>-2.4715788999999998E-2</v>
      </c>
      <c r="BU69">
        <v>0.23715569</v>
      </c>
      <c r="BV69">
        <v>0.16165066</v>
      </c>
      <c r="BW69">
        <v>0.46105101999999998</v>
      </c>
      <c r="BX69">
        <v>8.5284289999999999E-2</v>
      </c>
      <c r="BY69">
        <v>-3.4567866000000003E-2</v>
      </c>
      <c r="BZ69">
        <v>-0.34007597000000001</v>
      </c>
      <c r="CA69">
        <v>-0.21078058</v>
      </c>
      <c r="CB69">
        <v>-0.17259716999999999</v>
      </c>
      <c r="CC69">
        <v>0.42845670000000002</v>
      </c>
      <c r="CD69">
        <v>0.18998271</v>
      </c>
      <c r="CE69">
        <v>-0.19183550999999999</v>
      </c>
      <c r="CF69">
        <v>-0.31882065999999998</v>
      </c>
      <c r="CG69">
        <v>0.13474222999999999</v>
      </c>
      <c r="CH69">
        <v>0.28155643000000002</v>
      </c>
      <c r="CI69">
        <v>-9.9990010000000004E-2</v>
      </c>
      <c r="CJ69">
        <v>-0.27073696000000003</v>
      </c>
      <c r="CK69">
        <v>-0.16639280000000001</v>
      </c>
      <c r="CL69">
        <v>-3.1826800000000002E-2</v>
      </c>
      <c r="CM69">
        <v>0.21215336000000001</v>
      </c>
      <c r="CN69">
        <v>-0.61529814999999999</v>
      </c>
      <c r="CO69">
        <v>2.1338197999999999E-2</v>
      </c>
      <c r="CP69">
        <v>-7.3939569999999996E-2</v>
      </c>
      <c r="CQ69">
        <v>-0.25342967999999999</v>
      </c>
      <c r="CR69">
        <v>-2.6416724999999999E-2</v>
      </c>
      <c r="CS69">
        <v>-8.3211129999999994E-2</v>
      </c>
      <c r="CT69">
        <v>0.13065099999999999</v>
      </c>
      <c r="CU69">
        <v>0.28759128</v>
      </c>
      <c r="CV69">
        <v>-9.7755684999999995E-2</v>
      </c>
      <c r="CW69">
        <v>-0.38770612999999998</v>
      </c>
      <c r="CX69">
        <v>-0.22805676999999999</v>
      </c>
      <c r="CY69">
        <v>-0.32150691999999997</v>
      </c>
      <c r="CZ69">
        <v>-1.8448902E-2</v>
      </c>
      <c r="DA69">
        <v>0.123649575</v>
      </c>
      <c r="DB69">
        <v>-0.2093709</v>
      </c>
      <c r="DC69">
        <v>1.4096289E-2</v>
      </c>
      <c r="DD69">
        <v>7.0371450000000002E-2</v>
      </c>
      <c r="DE69">
        <v>0.2781631</v>
      </c>
      <c r="DF69">
        <v>-0.4878016</v>
      </c>
      <c r="DG69">
        <v>6.117732E-2</v>
      </c>
      <c r="DH69">
        <v>-0.10213369</v>
      </c>
      <c r="DI69">
        <v>-6.3331200000000004E-2</v>
      </c>
      <c r="DJ69">
        <v>-8.79466E-2</v>
      </c>
      <c r="DK69">
        <v>0.21730031</v>
      </c>
      <c r="DL69">
        <v>0.18884999</v>
      </c>
      <c r="DM69">
        <v>0.19818923999999999</v>
      </c>
      <c r="DN69">
        <v>8.9806609999999995E-2</v>
      </c>
      <c r="DO69">
        <v>5.9810292000000001E-2</v>
      </c>
      <c r="DP69">
        <v>9.1143349999999998E-2</v>
      </c>
      <c r="DQ69">
        <v>-6.7777599999999993E-2</v>
      </c>
      <c r="DR69">
        <v>-0.31465399999999999</v>
      </c>
      <c r="DS69">
        <v>-9.1126226000000005E-2</v>
      </c>
      <c r="DT69">
        <v>-2.9138245E-2</v>
      </c>
      <c r="DU69">
        <v>-3.0802738E-2</v>
      </c>
      <c r="DV69">
        <v>0.25892212999999997</v>
      </c>
      <c r="DW69">
        <v>-1.173358E-2</v>
      </c>
      <c r="DX69">
        <v>-0.82361390000000001</v>
      </c>
      <c r="DY69">
        <v>-5.9050087000000001E-2</v>
      </c>
      <c r="DZ69">
        <v>0.29113850000000002</v>
      </c>
    </row>
    <row r="70" spans="1:130" x14ac:dyDescent="0.3">
      <c r="A70">
        <f>Board!$H$7</f>
        <v>1</v>
      </c>
      <c r="C70">
        <v>0.30290210000000001</v>
      </c>
      <c r="D70">
        <v>-7.1821339999999997E-2</v>
      </c>
      <c r="E70">
        <v>0.12101479599999999</v>
      </c>
      <c r="F70">
        <v>3.1872419999999999E-2</v>
      </c>
      <c r="G70">
        <v>-0.25035655000000001</v>
      </c>
      <c r="H70">
        <v>6.9117689999999996E-2</v>
      </c>
      <c r="I70">
        <v>-0.11425767000000001</v>
      </c>
      <c r="J70">
        <v>-0.12043778600000001</v>
      </c>
      <c r="K70">
        <v>5.9065640000000003E-2</v>
      </c>
      <c r="L70">
        <v>8.8450150000000005E-2</v>
      </c>
      <c r="M70">
        <v>-8.0197249999999998E-2</v>
      </c>
      <c r="N70">
        <v>0.18945529999999999</v>
      </c>
      <c r="O70">
        <v>0.27467999999999998</v>
      </c>
      <c r="P70">
        <v>-7.3045669999999993E-2</v>
      </c>
      <c r="Q70">
        <v>0.38646424000000001</v>
      </c>
      <c r="R70">
        <v>3.177301E-3</v>
      </c>
      <c r="S70">
        <v>4.1464741999999999E-2</v>
      </c>
      <c r="T70">
        <v>-0.20628342</v>
      </c>
      <c r="U70">
        <v>1.431456E-2</v>
      </c>
      <c r="V70">
        <v>0.21903715000000001</v>
      </c>
      <c r="W70">
        <v>-0.32945469999999999</v>
      </c>
      <c r="X70">
        <v>6.6555484999999998E-2</v>
      </c>
      <c r="Y70">
        <v>0.2093865</v>
      </c>
      <c r="Z70">
        <v>0.10821453</v>
      </c>
      <c r="AA70">
        <v>3.9663299999999999E-2</v>
      </c>
      <c r="AB70">
        <v>0.25175930000000002</v>
      </c>
      <c r="AC70">
        <v>2.5381137000000002E-2</v>
      </c>
      <c r="AD70">
        <v>-9.7509479999999996E-2</v>
      </c>
      <c r="AE70">
        <v>-0.31485194</v>
      </c>
      <c r="AF70">
        <v>2.539046E-2</v>
      </c>
      <c r="AG70">
        <v>-0.30828657999999998</v>
      </c>
      <c r="AH70">
        <v>-8.3983420000000003E-2</v>
      </c>
      <c r="AI70">
        <v>-3.8141105000000001E-3</v>
      </c>
      <c r="AJ70">
        <v>0.23500107000000001</v>
      </c>
      <c r="AK70">
        <v>-0.54345255999999997</v>
      </c>
      <c r="AL70">
        <v>-0.23447995999999999</v>
      </c>
      <c r="AM70">
        <v>0.21976093999999999</v>
      </c>
      <c r="AN70">
        <v>6.7394494999999999E-2</v>
      </c>
      <c r="AO70">
        <v>6.0267564000000003E-2</v>
      </c>
      <c r="AP70">
        <v>0.39863082999999999</v>
      </c>
      <c r="AQ70">
        <v>-0.16532912999999999</v>
      </c>
      <c r="AR70">
        <v>-0.1543882</v>
      </c>
      <c r="AS70">
        <v>-6.3238790000000003E-2</v>
      </c>
      <c r="AT70">
        <v>0.12997805000000001</v>
      </c>
      <c r="AU70">
        <v>-0.17136593</v>
      </c>
      <c r="AV70">
        <v>0.14533778999999999</v>
      </c>
      <c r="AW70">
        <v>-0.30862314000000002</v>
      </c>
      <c r="AX70">
        <v>-0.15228402999999999</v>
      </c>
      <c r="AY70">
        <v>-0.12071734000000001</v>
      </c>
      <c r="AZ70">
        <v>-0.30583367</v>
      </c>
      <c r="BA70">
        <v>-3.7573809999999999E-2</v>
      </c>
      <c r="BB70">
        <v>-0.15614446000000001</v>
      </c>
      <c r="BC70">
        <v>3.4345010000000002E-2</v>
      </c>
      <c r="BD70">
        <v>-0.12827013000000001</v>
      </c>
      <c r="BE70">
        <v>0.10409011</v>
      </c>
      <c r="BF70">
        <v>0.12962873</v>
      </c>
      <c r="BG70">
        <v>0.11076737</v>
      </c>
      <c r="BH70">
        <v>-0.12871257999999999</v>
      </c>
      <c r="BI70">
        <v>0.28705733999999999</v>
      </c>
      <c r="BJ70">
        <v>0.41124523000000002</v>
      </c>
      <c r="BK70">
        <v>0.28028512</v>
      </c>
      <c r="BL70">
        <v>0.32136651999999999</v>
      </c>
      <c r="BM70">
        <v>-0.48706781999999998</v>
      </c>
      <c r="BN70">
        <v>0.23504595</v>
      </c>
      <c r="BO70">
        <v>0.19651722999999999</v>
      </c>
      <c r="BP70">
        <v>9.5459959999999996E-2</v>
      </c>
      <c r="BQ70">
        <v>0.11287815</v>
      </c>
      <c r="BR70">
        <v>0.17384786999999999</v>
      </c>
      <c r="BS70">
        <v>-8.829998E-2</v>
      </c>
      <c r="BT70">
        <v>-0.22863625000000001</v>
      </c>
      <c r="BU70">
        <v>5.8401880000000003E-2</v>
      </c>
      <c r="BV70">
        <v>-8.8178135000000005E-2</v>
      </c>
      <c r="BW70">
        <v>1.2648276E-3</v>
      </c>
      <c r="BX70">
        <v>0.13362244000000001</v>
      </c>
      <c r="BY70">
        <v>-0.1045295</v>
      </c>
      <c r="BZ70">
        <v>5.4564856000000002E-2</v>
      </c>
      <c r="CA70">
        <v>0.1505206</v>
      </c>
      <c r="CB70">
        <v>-4.3239206000000002E-2</v>
      </c>
      <c r="CC70">
        <v>-0.13461359000000001</v>
      </c>
      <c r="CD70">
        <v>0.32667422000000002</v>
      </c>
      <c r="CE70">
        <v>-0.27163777</v>
      </c>
      <c r="CF70">
        <v>-0.13458654</v>
      </c>
      <c r="CG70">
        <v>-0.16054773</v>
      </c>
      <c r="CH70">
        <v>-7.4459670000000006E-2</v>
      </c>
      <c r="CI70">
        <v>0.17521358000000001</v>
      </c>
      <c r="CJ70">
        <v>8.7191716000000002E-2</v>
      </c>
      <c r="CK70">
        <v>-9.5388920000000002E-2</v>
      </c>
      <c r="CL70">
        <v>-0.31273447999999998</v>
      </c>
      <c r="CM70">
        <v>0.10952866</v>
      </c>
      <c r="CN70">
        <v>-0.38083875</v>
      </c>
      <c r="CO70">
        <v>-0.27998020000000001</v>
      </c>
      <c r="CP70">
        <v>0.11320969</v>
      </c>
      <c r="CQ70">
        <v>-0.5163295</v>
      </c>
      <c r="CR70">
        <v>-6.1050399999999998E-2</v>
      </c>
      <c r="CS70">
        <v>-0.35698253000000002</v>
      </c>
      <c r="CT70">
        <v>0.20652609999999999</v>
      </c>
      <c r="CU70">
        <v>0.15695706000000001</v>
      </c>
      <c r="CV70">
        <v>-0.23433919</v>
      </c>
      <c r="CW70">
        <v>-4.8336855999999997E-2</v>
      </c>
      <c r="CX70">
        <v>0.15337479000000001</v>
      </c>
      <c r="CY70">
        <v>-3.6186133000000002E-2</v>
      </c>
      <c r="CZ70">
        <v>0.11100173000000001</v>
      </c>
      <c r="DA70">
        <v>2.2358360000000001E-2</v>
      </c>
      <c r="DB70">
        <v>8.4777870000000005E-2</v>
      </c>
      <c r="DC70">
        <v>0.14169645</v>
      </c>
      <c r="DD70">
        <v>7.9002870000000003E-2</v>
      </c>
      <c r="DE70">
        <v>0.38282523000000002</v>
      </c>
      <c r="DF70">
        <v>-0.29410785</v>
      </c>
      <c r="DG70">
        <v>0.36389714000000001</v>
      </c>
      <c r="DH70">
        <v>-0.19911148000000001</v>
      </c>
      <c r="DI70">
        <v>-0.17645395</v>
      </c>
      <c r="DJ70">
        <v>-0.29157680000000002</v>
      </c>
      <c r="DK70">
        <v>-4.6921129999999998E-2</v>
      </c>
      <c r="DL70">
        <v>-0.14786859999999999</v>
      </c>
      <c r="DM70">
        <v>5.7398076999999999E-2</v>
      </c>
      <c r="DN70">
        <v>0.19959942999999999</v>
      </c>
      <c r="DO70">
        <v>-0.20494704999999999</v>
      </c>
      <c r="DP70">
        <v>-0.26229851999999998</v>
      </c>
      <c r="DQ70">
        <v>7.2560063999999994E-2</v>
      </c>
      <c r="DR70">
        <v>2.0071354E-2</v>
      </c>
      <c r="DS70">
        <v>-0.39020956000000001</v>
      </c>
      <c r="DT70">
        <v>-2.5150413000000002E-4</v>
      </c>
      <c r="DU70">
        <v>0.27700441999999997</v>
      </c>
      <c r="DV70">
        <v>0.22535932</v>
      </c>
      <c r="DW70">
        <v>0.13175717000000001</v>
      </c>
      <c r="DX70">
        <v>-2.5390093999999998E-2</v>
      </c>
      <c r="DY70">
        <v>-0.12871614000000001</v>
      </c>
      <c r="DZ70">
        <v>7.7678605999999997E-2</v>
      </c>
    </row>
    <row r="71" spans="1:130" x14ac:dyDescent="0.3">
      <c r="A71">
        <f>Board!$I$7</f>
        <v>0</v>
      </c>
      <c r="C71">
        <v>0.15027760000000001</v>
      </c>
      <c r="D71">
        <v>-1.2784881999999999E-2</v>
      </c>
      <c r="E71">
        <v>0.14499421000000001</v>
      </c>
      <c r="F71">
        <v>-6.1222400000000003E-2</v>
      </c>
      <c r="G71">
        <v>-7.5535536E-2</v>
      </c>
      <c r="H71">
        <v>-8.6830504000000003E-2</v>
      </c>
      <c r="I71">
        <v>-0.12364957</v>
      </c>
      <c r="J71">
        <v>-6.8329126000000004E-2</v>
      </c>
      <c r="K71">
        <v>-0.16619877999999999</v>
      </c>
      <c r="L71">
        <v>-0.109040596</v>
      </c>
      <c r="M71">
        <v>-0.19738829999999999</v>
      </c>
      <c r="N71">
        <v>2.3418910000000001E-2</v>
      </c>
      <c r="O71">
        <v>0.11657173</v>
      </c>
      <c r="P71">
        <v>0.28697240000000002</v>
      </c>
      <c r="Q71">
        <v>-8.1747204000000004E-2</v>
      </c>
      <c r="R71">
        <v>5.6494719999999998E-2</v>
      </c>
      <c r="S71">
        <v>0.10436505</v>
      </c>
      <c r="T71">
        <v>-0.11035267999999999</v>
      </c>
      <c r="U71">
        <v>4.9569964000000001E-2</v>
      </c>
      <c r="V71">
        <v>4.0173393000000002E-2</v>
      </c>
      <c r="W71">
        <v>-0.24251743000000001</v>
      </c>
      <c r="X71">
        <v>7.3180579999999995E-2</v>
      </c>
      <c r="Y71">
        <v>0.38556639999999998</v>
      </c>
      <c r="Z71">
        <v>0.15930672000000001</v>
      </c>
      <c r="AA71">
        <v>-1.9546304E-2</v>
      </c>
      <c r="AB71">
        <v>8.0921629999999994E-2</v>
      </c>
      <c r="AC71">
        <v>7.4072114999999994E-2</v>
      </c>
      <c r="AD71">
        <v>-1.6761372E-2</v>
      </c>
      <c r="AE71">
        <v>-0.18086774999999999</v>
      </c>
      <c r="AF71">
        <v>3.1947184000000003E-2</v>
      </c>
      <c r="AG71">
        <v>0.10061462</v>
      </c>
      <c r="AH71">
        <v>-0.10912589</v>
      </c>
      <c r="AI71">
        <v>-6.6702545000000002E-2</v>
      </c>
      <c r="AJ71">
        <v>-7.4553439999999999E-2</v>
      </c>
      <c r="AK71">
        <v>-0.23881714000000001</v>
      </c>
      <c r="AL71">
        <v>8.8791839999999997E-2</v>
      </c>
      <c r="AM71">
        <v>8.1322889999999995E-2</v>
      </c>
      <c r="AN71">
        <v>0.29335749999999999</v>
      </c>
      <c r="AO71">
        <v>6.1011612E-2</v>
      </c>
      <c r="AP71">
        <v>0.31054175000000001</v>
      </c>
      <c r="AQ71">
        <v>-0.31383889999999998</v>
      </c>
      <c r="AR71">
        <v>-0.22093270000000001</v>
      </c>
      <c r="AS71">
        <v>-0.19586007</v>
      </c>
      <c r="AT71">
        <v>6.8111630000000006E-2</v>
      </c>
      <c r="AU71">
        <v>-2.5456248000000001E-2</v>
      </c>
      <c r="AV71">
        <v>7.6406520000000006E-2</v>
      </c>
      <c r="AW71">
        <v>-8.2499149999999993E-2</v>
      </c>
      <c r="AX71">
        <v>-0.29817873</v>
      </c>
      <c r="AY71">
        <v>-8.3569370000000004E-2</v>
      </c>
      <c r="AZ71">
        <v>2.8424425E-2</v>
      </c>
      <c r="BA71">
        <v>-7.7920500000000004E-2</v>
      </c>
      <c r="BB71">
        <v>-0.3231077</v>
      </c>
      <c r="BC71">
        <v>6.6825523999999997E-2</v>
      </c>
      <c r="BD71">
        <v>-0.23081228000000001</v>
      </c>
      <c r="BE71">
        <v>9.9637320000000001E-2</v>
      </c>
      <c r="BF71">
        <v>3.5991599999999999E-2</v>
      </c>
      <c r="BG71">
        <v>0.3811658</v>
      </c>
      <c r="BH71">
        <v>-0.10930875</v>
      </c>
      <c r="BI71">
        <v>0.14981599000000001</v>
      </c>
      <c r="BJ71">
        <v>0.65066740000000001</v>
      </c>
      <c r="BK71">
        <v>6.8656179999999997E-2</v>
      </c>
      <c r="BL71">
        <v>0.22928001000000001</v>
      </c>
      <c r="BM71">
        <v>-0.22502469999999999</v>
      </c>
      <c r="BN71">
        <v>-5.8409969999999999E-2</v>
      </c>
      <c r="BO71">
        <v>8.0692399999999997E-2</v>
      </c>
      <c r="BP71">
        <v>0.18097198</v>
      </c>
      <c r="BQ71">
        <v>0.14829938000000001</v>
      </c>
      <c r="BR71">
        <v>3.553253E-2</v>
      </c>
      <c r="BS71">
        <v>-4.9695349999999999E-2</v>
      </c>
      <c r="BT71">
        <v>-0.11660806999999999</v>
      </c>
      <c r="BU71">
        <v>-0.17461778</v>
      </c>
      <c r="BV71">
        <v>-5.1705107E-2</v>
      </c>
      <c r="BW71">
        <v>-0.22048007999999999</v>
      </c>
      <c r="BX71">
        <v>7.1481390000000006E-2</v>
      </c>
      <c r="BY71">
        <v>-0.14536077999999999</v>
      </c>
      <c r="BZ71">
        <v>0.15550417999999999</v>
      </c>
      <c r="CA71">
        <v>0.18231956999999999</v>
      </c>
      <c r="CB71">
        <v>4.7420982E-2</v>
      </c>
      <c r="CC71">
        <v>-8.4701589999999993E-2</v>
      </c>
      <c r="CD71">
        <v>0.17646621000000001</v>
      </c>
      <c r="CE71">
        <v>-0.12566964</v>
      </c>
      <c r="CF71">
        <v>0.11878341000000001</v>
      </c>
      <c r="CG71">
        <v>-0.11529327</v>
      </c>
      <c r="CH71">
        <v>9.1201130000000005E-2</v>
      </c>
      <c r="CI71">
        <v>0.10561355</v>
      </c>
      <c r="CJ71">
        <v>-8.9696929999999994E-2</v>
      </c>
      <c r="CK71">
        <v>-7.0288130000000001E-3</v>
      </c>
      <c r="CL71">
        <v>-0.18404838000000001</v>
      </c>
      <c r="CM71">
        <v>-3.7008777E-2</v>
      </c>
      <c r="CN71">
        <v>-0.11968076</v>
      </c>
      <c r="CO71">
        <v>-0.25881943000000002</v>
      </c>
      <c r="CP71">
        <v>9.7220379999999995E-2</v>
      </c>
      <c r="CQ71">
        <v>-0.49986081999999998</v>
      </c>
      <c r="CR71">
        <v>-0.22522615000000001</v>
      </c>
      <c r="CS71">
        <v>-0.1871757</v>
      </c>
      <c r="CT71">
        <v>0.12789500000000001</v>
      </c>
      <c r="CU71">
        <v>0.21605801999999999</v>
      </c>
      <c r="CV71">
        <v>-0.23306389</v>
      </c>
      <c r="CW71">
        <v>0.42606565000000002</v>
      </c>
      <c r="CX71">
        <v>-1.9771568000000002E-3</v>
      </c>
      <c r="CY71">
        <v>1.3068804999999999E-2</v>
      </c>
      <c r="CZ71">
        <v>1.8857111999999999E-2</v>
      </c>
      <c r="DA71">
        <v>0.13224673000000001</v>
      </c>
      <c r="DB71">
        <v>-7.7817355999999999E-3</v>
      </c>
      <c r="DC71">
        <v>-0.12887082</v>
      </c>
      <c r="DD71">
        <v>9.4445080000000001E-2</v>
      </c>
      <c r="DE71">
        <v>0.25523015999999998</v>
      </c>
      <c r="DF71">
        <v>7.5708659999999997E-2</v>
      </c>
      <c r="DG71">
        <v>0.18069832</v>
      </c>
      <c r="DH71">
        <v>-1.5472473E-2</v>
      </c>
      <c r="DI71">
        <v>9.5450154999999995E-2</v>
      </c>
      <c r="DJ71">
        <v>-5.8377634999999997E-2</v>
      </c>
      <c r="DK71">
        <v>-0.19870335</v>
      </c>
      <c r="DL71">
        <v>-2.3197820000000001E-2</v>
      </c>
      <c r="DM71">
        <v>6.63604E-2</v>
      </c>
      <c r="DN71">
        <v>-0.18690578999999999</v>
      </c>
      <c r="DO71">
        <v>-1.1702699E-2</v>
      </c>
      <c r="DP71">
        <v>-1.0942901E-2</v>
      </c>
      <c r="DQ71">
        <v>8.032164E-2</v>
      </c>
      <c r="DR71">
        <v>2.1377199999999999E-2</v>
      </c>
      <c r="DS71">
        <v>0.15611272000000001</v>
      </c>
      <c r="DT71">
        <v>-0.16462915</v>
      </c>
      <c r="DU71">
        <v>6.7263013000000002E-3</v>
      </c>
      <c r="DV71">
        <v>8.6826280000000006E-2</v>
      </c>
      <c r="DW71">
        <v>0.22823955000000001</v>
      </c>
      <c r="DX71">
        <v>7.9757430000000004E-2</v>
      </c>
      <c r="DY71">
        <v>2.056968E-2</v>
      </c>
      <c r="DZ71">
        <v>-0.32775947</v>
      </c>
    </row>
    <row r="72" spans="1:130" x14ac:dyDescent="0.3">
      <c r="A72">
        <f>Board!$J$7</f>
        <v>0</v>
      </c>
      <c r="C72">
        <v>4.2543270000000001E-2</v>
      </c>
      <c r="D72">
        <v>-2.4404649E-2</v>
      </c>
      <c r="E72">
        <v>-1.7898939999999999E-2</v>
      </c>
      <c r="F72">
        <v>-9.9509139999999996E-2</v>
      </c>
      <c r="G72">
        <v>-3.1314875999999998E-2</v>
      </c>
      <c r="H72">
        <v>3.5982199999999999E-2</v>
      </c>
      <c r="I72">
        <v>-2.5654646999999999E-2</v>
      </c>
      <c r="J72">
        <v>-4.3770580000000003E-2</v>
      </c>
      <c r="K72">
        <v>-5.1576434999999995E-4</v>
      </c>
      <c r="L72">
        <v>-0.2093438</v>
      </c>
      <c r="M72">
        <v>-0.41062727999999998</v>
      </c>
      <c r="N72">
        <v>-9.6311540000000001E-2</v>
      </c>
      <c r="O72">
        <v>-0.10013348</v>
      </c>
      <c r="P72">
        <v>5.0810742999999998E-2</v>
      </c>
      <c r="Q72">
        <v>-0.10820979</v>
      </c>
      <c r="R72">
        <v>-1.1604658E-2</v>
      </c>
      <c r="S72">
        <v>0.16084760000000001</v>
      </c>
      <c r="T72">
        <v>-0.14623786999999999</v>
      </c>
      <c r="U72">
        <v>0.17180751</v>
      </c>
      <c r="V72">
        <v>-2.0767435000000001E-2</v>
      </c>
      <c r="W72">
        <v>-0.17091095000000001</v>
      </c>
      <c r="X72">
        <v>0.15327582000000001</v>
      </c>
      <c r="Y72">
        <v>0.14880583999999999</v>
      </c>
      <c r="Z72">
        <v>0.13328475000000001</v>
      </c>
      <c r="AA72">
        <v>-0.10877333</v>
      </c>
      <c r="AB72">
        <v>-4.6444492999999998E-3</v>
      </c>
      <c r="AC72">
        <v>-7.7973680000000004E-2</v>
      </c>
      <c r="AD72">
        <v>-0.14077343</v>
      </c>
      <c r="AE72">
        <v>3.9748161999999997E-2</v>
      </c>
      <c r="AF72">
        <v>0.13573300999999999</v>
      </c>
      <c r="AG72">
        <v>-1.01629295E-4</v>
      </c>
      <c r="AH72">
        <v>-6.7183909999999999E-2</v>
      </c>
      <c r="AI72">
        <v>0.11044253</v>
      </c>
      <c r="AJ72">
        <v>-0.11163586</v>
      </c>
      <c r="AK72">
        <v>9.0090699999999996E-2</v>
      </c>
      <c r="AL72">
        <v>9.9912420000000002E-2</v>
      </c>
      <c r="AM72">
        <v>0.12954410999999999</v>
      </c>
      <c r="AN72">
        <v>0.18181548</v>
      </c>
      <c r="AO72">
        <v>5.3675324000000003E-2</v>
      </c>
      <c r="AP72">
        <v>0.27887076</v>
      </c>
      <c r="AQ72">
        <v>-0.25262656999999999</v>
      </c>
      <c r="AR72">
        <v>-0.28539502999999999</v>
      </c>
      <c r="AS72">
        <v>-3.8513816999999999E-2</v>
      </c>
      <c r="AT72">
        <v>-0.41807902000000002</v>
      </c>
      <c r="AU72">
        <v>5.2597593999999998E-2</v>
      </c>
      <c r="AV72">
        <v>0.14489193</v>
      </c>
      <c r="AW72">
        <v>-0.37311030000000001</v>
      </c>
      <c r="AX72">
        <v>-0.25248130000000002</v>
      </c>
      <c r="AY72">
        <v>4.6874119999999998E-2</v>
      </c>
      <c r="AZ72">
        <v>0.17295838999999999</v>
      </c>
      <c r="BA72">
        <v>3.6569703000000002E-2</v>
      </c>
      <c r="BB72">
        <v>-0.22475737000000001</v>
      </c>
      <c r="BC72">
        <v>0.102967516</v>
      </c>
      <c r="BD72">
        <v>-0.12983912</v>
      </c>
      <c r="BE72">
        <v>-0.35217735</v>
      </c>
      <c r="BF72">
        <v>9.3347319999999998E-2</v>
      </c>
      <c r="BG72">
        <v>0.1842887</v>
      </c>
      <c r="BH72">
        <v>-3.9012257000000002E-2</v>
      </c>
      <c r="BI72">
        <v>-8.5706679999999993E-2</v>
      </c>
      <c r="BJ72">
        <v>-0.26132422999999999</v>
      </c>
      <c r="BK72">
        <v>-0.18881507</v>
      </c>
      <c r="BL72">
        <v>0.10251641</v>
      </c>
      <c r="BM72">
        <v>0.25165510000000002</v>
      </c>
      <c r="BN72">
        <v>-6.5994499999999998E-2</v>
      </c>
      <c r="BO72">
        <v>8.8581359999999998E-2</v>
      </c>
      <c r="BP72">
        <v>-4.1072153E-2</v>
      </c>
      <c r="BQ72">
        <v>3.0806529999999999E-2</v>
      </c>
      <c r="BR72">
        <v>9.9882886000000004E-2</v>
      </c>
      <c r="BS72">
        <v>-9.4653559999999998E-2</v>
      </c>
      <c r="BT72">
        <v>-0.24718256</v>
      </c>
      <c r="BU72">
        <v>-0.55970039999999999</v>
      </c>
      <c r="BV72">
        <v>0.13750222000000001</v>
      </c>
      <c r="BW72">
        <v>-8.2498020000000005E-2</v>
      </c>
      <c r="BX72">
        <v>-5.2671712000000002E-2</v>
      </c>
      <c r="BY72">
        <v>0.10432108499999999</v>
      </c>
      <c r="BZ72">
        <v>-9.2765559999999997E-2</v>
      </c>
      <c r="CA72">
        <v>0.12597574</v>
      </c>
      <c r="CB72">
        <v>5.2586096999999998E-2</v>
      </c>
      <c r="CC72">
        <v>-8.9083529999999994E-2</v>
      </c>
      <c r="CD72">
        <v>-5.5724296999999999E-2</v>
      </c>
      <c r="CE72">
        <v>4.9749203000000004E-3</v>
      </c>
      <c r="CF72">
        <v>0.30575720000000001</v>
      </c>
      <c r="CG72">
        <v>6.0131486999999997E-2</v>
      </c>
      <c r="CH72">
        <v>-2.3833254000000002E-2</v>
      </c>
      <c r="CI72">
        <v>0.1107784</v>
      </c>
      <c r="CJ72">
        <v>-0.42075685000000002</v>
      </c>
      <c r="CK72">
        <v>-2.0672651E-2</v>
      </c>
      <c r="CL72">
        <v>9.5960385999999995E-2</v>
      </c>
      <c r="CM72">
        <v>-1.9016180000000001E-2</v>
      </c>
      <c r="CN72">
        <v>-0.20917063999999999</v>
      </c>
      <c r="CO72">
        <v>-0.16623878</v>
      </c>
      <c r="CP72">
        <v>-3.2825355E-4</v>
      </c>
      <c r="CQ72">
        <v>0.24465572999999999</v>
      </c>
      <c r="CR72">
        <v>-0.29473450000000001</v>
      </c>
      <c r="CS72">
        <v>-3.9451710000000001E-2</v>
      </c>
      <c r="CT72">
        <v>7.4441195000000002E-2</v>
      </c>
      <c r="CU72">
        <v>-0.14420744999999999</v>
      </c>
      <c r="CV72">
        <v>-0.21550828</v>
      </c>
      <c r="CW72">
        <v>0.29769367000000002</v>
      </c>
      <c r="CX72">
        <v>0.22948316999999999</v>
      </c>
      <c r="CY72">
        <v>-6.2852584000000003E-2</v>
      </c>
      <c r="CZ72">
        <v>1.9519627000000001E-2</v>
      </c>
      <c r="DA72">
        <v>0.117134035</v>
      </c>
      <c r="DB72">
        <v>-8.5644886000000003E-2</v>
      </c>
      <c r="DC72">
        <v>0.20134921</v>
      </c>
      <c r="DD72">
        <v>8.5849369999999994E-2</v>
      </c>
      <c r="DE72">
        <v>0.1934902</v>
      </c>
      <c r="DF72">
        <v>-6.559856E-2</v>
      </c>
      <c r="DG72">
        <v>-0.27791779999999999</v>
      </c>
      <c r="DH72">
        <v>-1.8392836999999999E-2</v>
      </c>
      <c r="DI72">
        <v>9.6377600000000004E-3</v>
      </c>
      <c r="DJ72">
        <v>5.5301285999999998E-2</v>
      </c>
      <c r="DK72">
        <v>-0.13161774000000001</v>
      </c>
      <c r="DL72">
        <v>-0.30696380000000001</v>
      </c>
      <c r="DM72">
        <v>8.0225090000000006E-3</v>
      </c>
      <c r="DN72">
        <v>-0.33803739999999999</v>
      </c>
      <c r="DO72">
        <v>-5.8422676999999999E-2</v>
      </c>
      <c r="DP72">
        <v>7.8354640000000003E-2</v>
      </c>
      <c r="DQ72">
        <v>0.14497950000000001</v>
      </c>
      <c r="DR72">
        <v>0.14232408999999999</v>
      </c>
      <c r="DS72">
        <v>0.22906684999999999</v>
      </c>
      <c r="DT72">
        <v>0.13158729999999999</v>
      </c>
      <c r="DU72">
        <v>-0.12886455999999999</v>
      </c>
      <c r="DV72">
        <v>-0.1810319</v>
      </c>
      <c r="DW72">
        <v>4.4392429999999997E-2</v>
      </c>
      <c r="DX72">
        <v>-0.12506323999999999</v>
      </c>
      <c r="DY72">
        <v>0.102189295</v>
      </c>
      <c r="DZ72">
        <v>-0.34666390000000002</v>
      </c>
    </row>
    <row r="73" spans="1:130" x14ac:dyDescent="0.3">
      <c r="A73">
        <f>Board!$K$7</f>
        <v>0</v>
      </c>
      <c r="C73">
        <v>-0.16019639999999999</v>
      </c>
      <c r="D73">
        <v>2.3788627E-2</v>
      </c>
      <c r="E73">
        <v>5.9084114E-2</v>
      </c>
      <c r="F73">
        <v>0.1057355</v>
      </c>
      <c r="G73">
        <v>-0.24928196999999999</v>
      </c>
      <c r="H73">
        <v>0.17566074000000001</v>
      </c>
      <c r="I73">
        <v>9.5669560000000001E-2</v>
      </c>
      <c r="J73">
        <v>-0.34562345999999999</v>
      </c>
      <c r="K73">
        <v>5.8835279999999997E-2</v>
      </c>
      <c r="L73">
        <v>-9.4257809999999997E-2</v>
      </c>
      <c r="M73">
        <v>-0.48437702999999999</v>
      </c>
      <c r="N73">
        <v>-0.12622626000000001</v>
      </c>
      <c r="O73">
        <v>-0.2590788</v>
      </c>
      <c r="P73">
        <v>-2.8970263999999999E-2</v>
      </c>
      <c r="Q73">
        <v>-0.13460386999999999</v>
      </c>
      <c r="R73">
        <v>0.12117173000000001</v>
      </c>
      <c r="S73">
        <v>6.6632024999999998E-2</v>
      </c>
      <c r="T73">
        <v>-0.16549407999999999</v>
      </c>
      <c r="U73">
        <v>0.22425479000000001</v>
      </c>
      <c r="V73">
        <v>-5.7207510000000003E-2</v>
      </c>
      <c r="W73">
        <v>-0.30495146000000001</v>
      </c>
      <c r="X73">
        <v>0.12358522399999999</v>
      </c>
      <c r="Y73">
        <v>0.2314679</v>
      </c>
      <c r="Z73">
        <v>0.20982482</v>
      </c>
      <c r="AA73">
        <v>-0.118235596</v>
      </c>
      <c r="AB73">
        <v>4.6140960000000002E-2</v>
      </c>
      <c r="AC73">
        <v>8.7468240000000003E-3</v>
      </c>
      <c r="AD73">
        <v>-8.9620909999999998E-2</v>
      </c>
      <c r="AE73">
        <v>-8.0487580000000003E-2</v>
      </c>
      <c r="AF73">
        <v>-0.18292328999999999</v>
      </c>
      <c r="AG73">
        <v>4.4645530000000003E-2</v>
      </c>
      <c r="AH73">
        <v>-0.21127154000000001</v>
      </c>
      <c r="AI73">
        <v>-7.5501509999999994E-2</v>
      </c>
      <c r="AJ73">
        <v>2.1847854999999999E-2</v>
      </c>
      <c r="AK73">
        <v>3.2686832999999998E-2</v>
      </c>
      <c r="AL73">
        <v>2.3588221999999999E-2</v>
      </c>
      <c r="AM73">
        <v>0.1149773</v>
      </c>
      <c r="AN73">
        <v>0.108502164</v>
      </c>
      <c r="AO73">
        <v>-4.7110810000000003E-2</v>
      </c>
      <c r="AP73">
        <v>0.13392973</v>
      </c>
      <c r="AQ73">
        <v>-0.2002939</v>
      </c>
      <c r="AR73">
        <v>-5.9825808000000001E-2</v>
      </c>
      <c r="AS73">
        <v>9.0447150000000004E-2</v>
      </c>
      <c r="AT73">
        <v>-0.27324094999999998</v>
      </c>
      <c r="AU73">
        <v>-0.13062029999999999</v>
      </c>
      <c r="AV73">
        <v>-9.7810449999999993E-2</v>
      </c>
      <c r="AW73">
        <v>-0.50190900000000005</v>
      </c>
      <c r="AX73">
        <v>-0.23531990999999999</v>
      </c>
      <c r="AY73">
        <v>0.12347343600000001</v>
      </c>
      <c r="AZ73">
        <v>0.13988212999999999</v>
      </c>
      <c r="BA73">
        <v>-0.109881096</v>
      </c>
      <c r="BB73">
        <v>-0.26823520000000001</v>
      </c>
      <c r="BC73">
        <v>9.7024250000000006E-2</v>
      </c>
      <c r="BD73">
        <v>-1.2323384E-2</v>
      </c>
      <c r="BE73">
        <v>-0.4194813</v>
      </c>
      <c r="BF73">
        <v>2.4583549999999999E-2</v>
      </c>
      <c r="BG73">
        <v>8.2628585000000004E-2</v>
      </c>
      <c r="BH73">
        <v>0.11347227</v>
      </c>
      <c r="BI73">
        <v>-0.29707715000000001</v>
      </c>
      <c r="BJ73">
        <v>-0.32384115000000002</v>
      </c>
      <c r="BK73">
        <v>-9.8455139999999997E-2</v>
      </c>
      <c r="BL73">
        <v>-0.22399405</v>
      </c>
      <c r="BM73">
        <v>-6.4849190000000001E-2</v>
      </c>
      <c r="BN73">
        <v>-7.4907266E-2</v>
      </c>
      <c r="BO73">
        <v>-0.10388056</v>
      </c>
      <c r="BP73">
        <v>-7.9340729999999998E-2</v>
      </c>
      <c r="BQ73">
        <v>-0.15328784000000001</v>
      </c>
      <c r="BR73">
        <v>-0.11942962999999999</v>
      </c>
      <c r="BS73">
        <v>2.0757837000000001E-2</v>
      </c>
      <c r="BT73">
        <v>-0.20982919999999999</v>
      </c>
      <c r="BU73">
        <v>-0.69628089999999998</v>
      </c>
      <c r="BV73">
        <v>-3.6131143999999997E-2</v>
      </c>
      <c r="BW73">
        <v>0.13773595</v>
      </c>
      <c r="BX73">
        <v>0.16865547</v>
      </c>
      <c r="BY73">
        <v>0.16028497999999999</v>
      </c>
      <c r="BZ73">
        <v>-0.34216803000000001</v>
      </c>
      <c r="CA73">
        <v>0.22592456999999999</v>
      </c>
      <c r="CB73">
        <v>-0.25236574000000001</v>
      </c>
      <c r="CC73">
        <v>-0.16746849999999999</v>
      </c>
      <c r="CD73">
        <v>4.6431109999999998E-2</v>
      </c>
      <c r="CE73">
        <v>-0.11133498999999999</v>
      </c>
      <c r="CF73">
        <v>0.15558377000000001</v>
      </c>
      <c r="CG73">
        <v>3.6961146E-2</v>
      </c>
      <c r="CH73">
        <v>7.7428765999999996E-2</v>
      </c>
      <c r="CI73">
        <v>2.7279464999999999E-2</v>
      </c>
      <c r="CJ73">
        <v>0.14901482999999999</v>
      </c>
      <c r="CK73">
        <v>8.9944444999999998E-2</v>
      </c>
      <c r="CL73">
        <v>7.9678565000000007E-2</v>
      </c>
      <c r="CM73">
        <v>-0.20426425000000001</v>
      </c>
      <c r="CN73">
        <v>-0.27712214000000002</v>
      </c>
      <c r="CO73">
        <v>-0.287576</v>
      </c>
      <c r="CP73">
        <v>0.19465531</v>
      </c>
      <c r="CQ73">
        <v>0.33063439999999999</v>
      </c>
      <c r="CR73">
        <v>-0.45548365000000002</v>
      </c>
      <c r="CS73">
        <v>-0.20317632999999999</v>
      </c>
      <c r="CT73">
        <v>8.5870384999999994E-2</v>
      </c>
      <c r="CU73">
        <v>-0.45633864000000002</v>
      </c>
      <c r="CV73">
        <v>-0.45501402000000002</v>
      </c>
      <c r="CW73">
        <v>7.2418709999999997E-2</v>
      </c>
      <c r="CX73">
        <v>0.113426834</v>
      </c>
      <c r="CY73">
        <v>2.0903551999999999E-2</v>
      </c>
      <c r="CZ73">
        <v>-0.11056611</v>
      </c>
      <c r="DA73">
        <v>-2.3388216E-2</v>
      </c>
      <c r="DB73">
        <v>-5.3396363000000002E-2</v>
      </c>
      <c r="DC73">
        <v>0.21291579999999999</v>
      </c>
      <c r="DD73">
        <v>-1.5550537999999999E-2</v>
      </c>
      <c r="DE73">
        <v>-0.15936358</v>
      </c>
      <c r="DF73">
        <v>-3.8836792000000002E-2</v>
      </c>
      <c r="DG73">
        <v>-0.45996707999999997</v>
      </c>
      <c r="DH73">
        <v>0.21225417999999999</v>
      </c>
      <c r="DI73">
        <v>9.5003229999999994E-2</v>
      </c>
      <c r="DJ73">
        <v>0.16901906</v>
      </c>
      <c r="DK73">
        <v>-8.2785523999999999E-2</v>
      </c>
      <c r="DL73">
        <v>-0.49798617000000001</v>
      </c>
      <c r="DM73">
        <v>-0.13432056000000001</v>
      </c>
      <c r="DN73">
        <v>-0.42781471999999998</v>
      </c>
      <c r="DO73">
        <v>0.18647403000000001</v>
      </c>
      <c r="DP73">
        <v>5.2716829999999999E-2</v>
      </c>
      <c r="DQ73">
        <v>6.9408579999999998E-2</v>
      </c>
      <c r="DR73">
        <v>-0.25224595999999999</v>
      </c>
      <c r="DS73">
        <v>7.0565840000000005E-2</v>
      </c>
      <c r="DT73">
        <v>-1.1111095E-2</v>
      </c>
      <c r="DU73">
        <v>3.9262749999999999E-2</v>
      </c>
      <c r="DV73">
        <v>-0.10105322999999999</v>
      </c>
      <c r="DW73">
        <v>-4.9573129999999997E-3</v>
      </c>
      <c r="DX73">
        <v>-0.15505552</v>
      </c>
      <c r="DY73">
        <v>5.7479362999999999E-2</v>
      </c>
      <c r="DZ73">
        <v>-0.31274223000000001</v>
      </c>
    </row>
    <row r="74" spans="1:130" x14ac:dyDescent="0.3">
      <c r="A74">
        <f>Board!$L$7</f>
        <v>0</v>
      </c>
      <c r="C74">
        <v>-0.16579631</v>
      </c>
      <c r="D74">
        <v>3.7402182999999999E-2</v>
      </c>
      <c r="E74">
        <v>6.7003004000000005E-2</v>
      </c>
      <c r="F74">
        <v>-7.1592450000000002E-2</v>
      </c>
      <c r="G74">
        <v>-0.28326785999999998</v>
      </c>
      <c r="H74">
        <v>7.0869570000000007E-2</v>
      </c>
      <c r="I74">
        <v>-3.7724856000000001E-2</v>
      </c>
      <c r="J74">
        <v>-0.64963709999999997</v>
      </c>
      <c r="K74">
        <v>0.37803212000000003</v>
      </c>
      <c r="L74">
        <v>-0.10025628</v>
      </c>
      <c r="M74">
        <v>-0.74743459999999995</v>
      </c>
      <c r="N74">
        <v>-8.4647440000000004E-2</v>
      </c>
      <c r="O74">
        <v>-0.27338645</v>
      </c>
      <c r="P74">
        <v>-4.5132507000000002E-2</v>
      </c>
      <c r="Q74">
        <v>6.1347194000000001E-2</v>
      </c>
      <c r="R74">
        <v>0.42661090000000002</v>
      </c>
      <c r="S74">
        <v>-0.24591764999999999</v>
      </c>
      <c r="T74">
        <v>-0.49177473999999999</v>
      </c>
      <c r="U74">
        <v>1.14251925E-2</v>
      </c>
      <c r="V74">
        <v>1.9166252E-3</v>
      </c>
      <c r="W74">
        <v>-8.6001019999999997E-2</v>
      </c>
      <c r="X74">
        <v>-7.6759269999999999E-3</v>
      </c>
      <c r="Y74">
        <v>-2.8714661999999998E-2</v>
      </c>
      <c r="Z74">
        <v>4.6008337000000003E-2</v>
      </c>
      <c r="AA74">
        <v>-0.35000229999999999</v>
      </c>
      <c r="AB74">
        <v>7.8503879999999998E-2</v>
      </c>
      <c r="AC74">
        <v>0.14810619</v>
      </c>
      <c r="AD74">
        <v>3.7664535999999998E-2</v>
      </c>
      <c r="AE74">
        <v>-0.16635417999999999</v>
      </c>
      <c r="AF74">
        <v>-0.16039150999999999</v>
      </c>
      <c r="AG74">
        <v>-0.26625553000000002</v>
      </c>
      <c r="AH74">
        <v>-0.34679367999999999</v>
      </c>
      <c r="AI74">
        <v>7.6381589999999999E-2</v>
      </c>
      <c r="AJ74">
        <v>0.19289700000000001</v>
      </c>
      <c r="AK74">
        <v>0.21316509</v>
      </c>
      <c r="AL74">
        <v>-2.9459936999999999E-2</v>
      </c>
      <c r="AM74">
        <v>-9.9861970000000005E-3</v>
      </c>
      <c r="AN74">
        <v>-0.16563153</v>
      </c>
      <c r="AO74">
        <v>-0.24661938999999999</v>
      </c>
      <c r="AP74">
        <v>-0.15010952999999999</v>
      </c>
      <c r="AQ74">
        <v>-3.8226240000000002E-2</v>
      </c>
      <c r="AR74">
        <v>-4.1373340000000002E-2</v>
      </c>
      <c r="AS74">
        <v>0.20649661</v>
      </c>
      <c r="AT74">
        <v>4.1750450000000001E-2</v>
      </c>
      <c r="AU74">
        <v>-1.9032704000000001E-2</v>
      </c>
      <c r="AV74">
        <v>-9.7988969999999995E-2</v>
      </c>
      <c r="AW74">
        <v>-0.42065923999999999</v>
      </c>
      <c r="AX74">
        <v>-0.15872486</v>
      </c>
      <c r="AY74">
        <v>-7.3859505000000006E-2</v>
      </c>
      <c r="AZ74">
        <v>-7.4537640000000002E-2</v>
      </c>
      <c r="BA74">
        <v>-0.10713464</v>
      </c>
      <c r="BB74">
        <v>-0.33472701999999999</v>
      </c>
      <c r="BC74">
        <v>0.32882106</v>
      </c>
      <c r="BD74">
        <v>0.26187724000000001</v>
      </c>
      <c r="BE74">
        <v>-0.23021530000000001</v>
      </c>
      <c r="BF74">
        <v>-1.22660715E-2</v>
      </c>
      <c r="BG74">
        <v>-5.4718933999999997E-2</v>
      </c>
      <c r="BH74">
        <v>0.28175624999999999</v>
      </c>
      <c r="BI74">
        <v>-0.23132026</v>
      </c>
      <c r="BJ74">
        <v>-0.24794377000000001</v>
      </c>
      <c r="BK74">
        <v>-7.6098873999999997E-2</v>
      </c>
      <c r="BL74">
        <v>-0.15709391</v>
      </c>
      <c r="BM74">
        <v>4.2809773000000002E-2</v>
      </c>
      <c r="BN74">
        <v>-9.9905659999999993E-2</v>
      </c>
      <c r="BO74">
        <v>-6.2282803999999997E-2</v>
      </c>
      <c r="BP74">
        <v>-0.14191218999999999</v>
      </c>
      <c r="BQ74">
        <v>-0.12539189000000001</v>
      </c>
      <c r="BR74">
        <v>-4.0651554999999997E-3</v>
      </c>
      <c r="BS74">
        <v>0.33570474</v>
      </c>
      <c r="BT74">
        <v>-0.2920275</v>
      </c>
      <c r="BU74">
        <v>-0.60479369999999999</v>
      </c>
      <c r="BV74">
        <v>-0.19501769999999999</v>
      </c>
      <c r="BW74">
        <v>-0.1874712</v>
      </c>
      <c r="BX74">
        <v>0.23385323999999999</v>
      </c>
      <c r="BY74">
        <v>0.22016575999999999</v>
      </c>
      <c r="BZ74">
        <v>-0.40616295000000002</v>
      </c>
      <c r="CA74">
        <v>2.2473797E-2</v>
      </c>
      <c r="CB74">
        <v>-3.3403389999999998E-2</v>
      </c>
      <c r="CC74">
        <v>-0.21220289000000001</v>
      </c>
      <c r="CD74">
        <v>0.29337394</v>
      </c>
      <c r="CE74">
        <v>6.0040574999999999E-2</v>
      </c>
      <c r="CF74">
        <v>0.13967793000000001</v>
      </c>
      <c r="CG74">
        <v>-0.15514806</v>
      </c>
      <c r="CH74">
        <v>0.19502442</v>
      </c>
      <c r="CI74">
        <v>8.5365675000000002E-2</v>
      </c>
      <c r="CJ74">
        <v>0.29569580000000001</v>
      </c>
      <c r="CK74">
        <v>4.7418759999999997E-2</v>
      </c>
      <c r="CL74">
        <v>-3.5727954999999999E-2</v>
      </c>
      <c r="CM74">
        <v>-6.4159184999999994E-2</v>
      </c>
      <c r="CN74">
        <v>-2.8421706000000001E-2</v>
      </c>
      <c r="CO74">
        <v>-0.35834843</v>
      </c>
      <c r="CP74">
        <v>0.13190595999999999</v>
      </c>
      <c r="CQ74">
        <v>0.10879825999999999</v>
      </c>
      <c r="CR74">
        <v>-0.20496696</v>
      </c>
      <c r="CS74">
        <v>-0.12031332</v>
      </c>
      <c r="CT74">
        <v>0.11758505</v>
      </c>
      <c r="CU74">
        <v>-0.43115930000000002</v>
      </c>
      <c r="CV74">
        <v>-0.37301719999999999</v>
      </c>
      <c r="CW74">
        <v>-0.11508889999999999</v>
      </c>
      <c r="CX74">
        <v>-7.2124854000000002E-2</v>
      </c>
      <c r="CY74">
        <v>-0.25839475000000001</v>
      </c>
      <c r="CZ74">
        <v>-6.5072069999999996E-2</v>
      </c>
      <c r="DA74">
        <v>0.32208428</v>
      </c>
      <c r="DB74">
        <v>-9.4367384999999998E-2</v>
      </c>
      <c r="DC74">
        <v>-6.200253E-2</v>
      </c>
      <c r="DD74">
        <v>4.3659772999999999E-2</v>
      </c>
      <c r="DE74">
        <v>-0.67027930000000002</v>
      </c>
      <c r="DF74">
        <v>2.5061736000000001E-2</v>
      </c>
      <c r="DG74">
        <v>-7.2847016000000001E-2</v>
      </c>
      <c r="DH74">
        <v>0.23191279000000001</v>
      </c>
      <c r="DI74">
        <v>0.20690011999999999</v>
      </c>
      <c r="DJ74">
        <v>0.23071615000000001</v>
      </c>
      <c r="DK74">
        <v>-5.3616773E-2</v>
      </c>
      <c r="DL74">
        <v>-0.55443940000000003</v>
      </c>
      <c r="DM74">
        <v>-0.11104283</v>
      </c>
      <c r="DN74">
        <v>-0.22922625999999999</v>
      </c>
      <c r="DO74">
        <v>0.13651558999999999</v>
      </c>
      <c r="DP74">
        <v>0.107935674</v>
      </c>
      <c r="DQ74">
        <v>0.23413793999999999</v>
      </c>
      <c r="DR74">
        <v>-0.39292287999999997</v>
      </c>
      <c r="DS74">
        <v>-0.23322490000000001</v>
      </c>
      <c r="DT74">
        <v>-0.11058273</v>
      </c>
      <c r="DU74">
        <v>0.17360489000000001</v>
      </c>
      <c r="DV74">
        <v>-0.13165273999999999</v>
      </c>
      <c r="DW74">
        <v>5.4831702000000003E-2</v>
      </c>
      <c r="DX74">
        <v>-0.16869481</v>
      </c>
      <c r="DY74">
        <v>0.24551629999999999</v>
      </c>
      <c r="DZ74">
        <v>-0.40732327000000002</v>
      </c>
    </row>
    <row r="75" spans="1:130" x14ac:dyDescent="0.3">
      <c r="A75">
        <f>Board!$M$7</f>
        <v>0</v>
      </c>
      <c r="C75">
        <v>-0.14618750999999999</v>
      </c>
      <c r="D75">
        <v>0.107032105</v>
      </c>
      <c r="E75">
        <v>-3.4688919999999998E-2</v>
      </c>
      <c r="F75">
        <v>5.9402245999999999E-2</v>
      </c>
      <c r="G75">
        <v>-0.29602425999999998</v>
      </c>
      <c r="H75">
        <v>0.24494562</v>
      </c>
      <c r="I75">
        <v>0.10448489</v>
      </c>
      <c r="J75">
        <v>-7.0717269999999999E-2</v>
      </c>
      <c r="K75">
        <v>0.38575124999999999</v>
      </c>
      <c r="L75">
        <v>3.0390286999999998E-2</v>
      </c>
      <c r="M75">
        <v>-0.22885163</v>
      </c>
      <c r="N75">
        <v>-0.108221754</v>
      </c>
      <c r="O75">
        <v>-0.12545906000000001</v>
      </c>
      <c r="P75">
        <v>6.4870542999999996E-3</v>
      </c>
      <c r="Q75">
        <v>0.21030647999999999</v>
      </c>
      <c r="R75">
        <v>1.1755712999999999E-2</v>
      </c>
      <c r="S75">
        <v>1.9283129E-2</v>
      </c>
      <c r="T75">
        <v>-0.17486836</v>
      </c>
      <c r="U75">
        <v>-0.28361458000000001</v>
      </c>
      <c r="V75">
        <v>0.11779764</v>
      </c>
      <c r="W75">
        <v>-2.7197466999999999E-2</v>
      </c>
      <c r="X75">
        <v>-0.12679343000000001</v>
      </c>
      <c r="Y75">
        <v>5.0870961999999999E-2</v>
      </c>
      <c r="Z75">
        <v>-6.6653684000000005E-2</v>
      </c>
      <c r="AA75">
        <v>-0.23091133</v>
      </c>
      <c r="AB75">
        <v>0.16792794999999999</v>
      </c>
      <c r="AC75">
        <v>-8.0478069999999999E-2</v>
      </c>
      <c r="AD75">
        <v>-8.7696789999999997E-2</v>
      </c>
      <c r="AE75">
        <v>0.23858351999999999</v>
      </c>
      <c r="AF75">
        <v>-0.36916998000000001</v>
      </c>
      <c r="AG75">
        <v>-0.1832665</v>
      </c>
      <c r="AH75">
        <v>-9.0343409999999999E-2</v>
      </c>
      <c r="AI75">
        <v>0.21471633000000001</v>
      </c>
      <c r="AJ75">
        <v>0.14815246000000001</v>
      </c>
      <c r="AK75">
        <v>-0.159578</v>
      </c>
      <c r="AL75">
        <v>1.1816012000000001E-2</v>
      </c>
      <c r="AM75">
        <v>0.10311747</v>
      </c>
      <c r="AN75">
        <v>1.4544028999999999E-3</v>
      </c>
      <c r="AO75">
        <v>1.1333736000000001E-2</v>
      </c>
      <c r="AP75">
        <v>6.9470833999999999E-3</v>
      </c>
      <c r="AQ75">
        <v>0.17123255000000001</v>
      </c>
      <c r="AR75">
        <v>9.0214920000000004E-2</v>
      </c>
      <c r="AS75">
        <v>0.10331772</v>
      </c>
      <c r="AT75">
        <v>-5.1489864000000003E-2</v>
      </c>
      <c r="AU75">
        <v>-4.759004E-2</v>
      </c>
      <c r="AV75">
        <v>-3.6397687999999997E-2</v>
      </c>
      <c r="AW75">
        <v>0.10927079000000001</v>
      </c>
      <c r="AX75">
        <v>-0.13079204999999999</v>
      </c>
      <c r="AY75">
        <v>1.7871232999999999E-3</v>
      </c>
      <c r="AZ75">
        <v>-9.1351500000000002E-2</v>
      </c>
      <c r="BA75">
        <v>4.2830435999999996E-3</v>
      </c>
      <c r="BB75">
        <v>-8.2034159999999995E-2</v>
      </c>
      <c r="BC75">
        <v>-2.088641E-3</v>
      </c>
      <c r="BD75">
        <v>9.0720049999999993E-3</v>
      </c>
      <c r="BE75">
        <v>-5.2246055999999999E-2</v>
      </c>
      <c r="BF75">
        <v>8.7521050000000003E-2</v>
      </c>
      <c r="BG75">
        <v>-1.6295489E-2</v>
      </c>
      <c r="BH75">
        <v>0.11978725</v>
      </c>
      <c r="BI75">
        <v>-0.11490804</v>
      </c>
      <c r="BJ75">
        <v>5.3357219999999997E-2</v>
      </c>
      <c r="BK75">
        <v>7.9086509999999999E-2</v>
      </c>
      <c r="BL75">
        <v>-0.17050100000000001</v>
      </c>
      <c r="BM75">
        <v>5.4533914000000003E-2</v>
      </c>
      <c r="BN75">
        <v>-9.5274836000000002E-2</v>
      </c>
      <c r="BO75">
        <v>0.19086127</v>
      </c>
      <c r="BP75">
        <v>-6.6414970000000004E-2</v>
      </c>
      <c r="BQ75">
        <v>9.8408595000000001E-2</v>
      </c>
      <c r="BR75">
        <v>-1.246031E-2</v>
      </c>
      <c r="BS75">
        <v>0.16521279999999999</v>
      </c>
      <c r="BT75">
        <v>-0.16417188999999999</v>
      </c>
      <c r="BU75">
        <v>-0.1114637</v>
      </c>
      <c r="BV75">
        <v>-0.30707385999999998</v>
      </c>
      <c r="BW75">
        <v>-7.6806180000000002E-2</v>
      </c>
      <c r="BX75">
        <v>2.1193778E-2</v>
      </c>
      <c r="BY75">
        <v>1.3972775E-2</v>
      </c>
      <c r="BZ75">
        <v>-5.2285668E-2</v>
      </c>
      <c r="CA75">
        <v>-2.4357053E-2</v>
      </c>
      <c r="CB75">
        <v>0.31894529999999999</v>
      </c>
      <c r="CC75">
        <v>-3.8393218E-2</v>
      </c>
      <c r="CD75">
        <v>6.2881199999999998E-2</v>
      </c>
      <c r="CE75">
        <v>0.14659548</v>
      </c>
      <c r="CF75">
        <v>0.10089801</v>
      </c>
      <c r="CG75">
        <v>0.11336462999999999</v>
      </c>
      <c r="CH75">
        <v>-2.416975E-2</v>
      </c>
      <c r="CI75">
        <v>0.14750226999999999</v>
      </c>
      <c r="CJ75">
        <v>1.0841330499999999E-2</v>
      </c>
      <c r="CK75">
        <v>-7.0164320000000002E-2</v>
      </c>
      <c r="CL75">
        <v>-3.9817686999999997E-2</v>
      </c>
      <c r="CM75">
        <v>-2.8497452E-2</v>
      </c>
      <c r="CN75">
        <v>0.19091928</v>
      </c>
      <c r="CO75">
        <v>-9.3563019999999997E-2</v>
      </c>
      <c r="CP75">
        <v>-0.21158953</v>
      </c>
      <c r="CQ75">
        <v>-0.17142639000000001</v>
      </c>
      <c r="CR75">
        <v>0.12769580999999999</v>
      </c>
      <c r="CS75">
        <v>-0.10507286</v>
      </c>
      <c r="CT75">
        <v>7.8789020000000001E-2</v>
      </c>
      <c r="CU75">
        <v>-9.3314720000000004E-2</v>
      </c>
      <c r="CV75">
        <v>-0.25065732000000002</v>
      </c>
      <c r="CW75">
        <v>-8.1357949999999998E-2</v>
      </c>
      <c r="CX75">
        <v>-9.3425330000000001E-2</v>
      </c>
      <c r="CY75">
        <v>-0.20623489</v>
      </c>
      <c r="CZ75">
        <v>0.1158646</v>
      </c>
      <c r="DA75">
        <v>-2.6650857E-2</v>
      </c>
      <c r="DB75">
        <v>-4.7663570000000002E-2</v>
      </c>
      <c r="DC75">
        <v>-9.6401303999999993E-2</v>
      </c>
      <c r="DD75">
        <v>-7.9192996000000002E-2</v>
      </c>
      <c r="DE75">
        <v>-2.0368857000000001E-2</v>
      </c>
      <c r="DF75">
        <v>1.6556358E-2</v>
      </c>
      <c r="DG75">
        <v>0.15994094</v>
      </c>
      <c r="DH75">
        <v>9.5672190000000004E-2</v>
      </c>
      <c r="DI75">
        <v>1.20308455E-2</v>
      </c>
      <c r="DJ75">
        <v>-2.8883402999999998E-2</v>
      </c>
      <c r="DK75">
        <v>9.9105193999999994E-2</v>
      </c>
      <c r="DL75">
        <v>-0.27963892000000001</v>
      </c>
      <c r="DM75">
        <v>-8.5427390000000006E-2</v>
      </c>
      <c r="DN75">
        <v>0.18214849</v>
      </c>
      <c r="DO75">
        <v>0.23627012999999999</v>
      </c>
      <c r="DP75">
        <v>-4.0902979999999999E-2</v>
      </c>
      <c r="DQ75">
        <v>-0.10509581</v>
      </c>
      <c r="DR75">
        <v>2.696635E-2</v>
      </c>
      <c r="DS75">
        <v>-4.1784166999999997E-2</v>
      </c>
      <c r="DT75">
        <v>-0.19376788</v>
      </c>
      <c r="DU75">
        <v>3.9089209999999999E-2</v>
      </c>
      <c r="DV75">
        <v>8.5523870000000002E-2</v>
      </c>
      <c r="DW75">
        <v>-0.18952622</v>
      </c>
      <c r="DX75">
        <v>-7.8475970000000006E-2</v>
      </c>
      <c r="DY75">
        <v>0.10398684</v>
      </c>
      <c r="DZ75">
        <v>4.2401830000000001E-2</v>
      </c>
    </row>
    <row r="76" spans="1:130" x14ac:dyDescent="0.3">
      <c r="A76">
        <f>Board!$B$8</f>
        <v>0</v>
      </c>
      <c r="C76">
        <v>-0.10013882</v>
      </c>
      <c r="D76">
        <v>-6.3460530000000001E-2</v>
      </c>
      <c r="E76">
        <v>-5.6482526999999998E-2</v>
      </c>
      <c r="F76">
        <v>4.2349227000000003E-2</v>
      </c>
      <c r="G76">
        <v>0.10546344000000001</v>
      </c>
      <c r="H76">
        <v>-2.1507496000000001E-2</v>
      </c>
      <c r="I76">
        <v>7.8470320000000003E-3</v>
      </c>
      <c r="J76">
        <v>0.15427904000000001</v>
      </c>
      <c r="K76">
        <v>0.17533064000000001</v>
      </c>
      <c r="L76">
        <v>4.5948330000000003E-2</v>
      </c>
      <c r="M76">
        <v>0.12080659000000001</v>
      </c>
      <c r="N76">
        <v>-0.11466352</v>
      </c>
      <c r="O76">
        <v>0.13334097</v>
      </c>
      <c r="P76">
        <v>-5.3187773000000001E-2</v>
      </c>
      <c r="Q76">
        <v>0.17557318999999999</v>
      </c>
      <c r="R76">
        <v>5.9406105000000001E-2</v>
      </c>
      <c r="S76">
        <v>-0.11550711</v>
      </c>
      <c r="T76">
        <v>-0.14482047000000001</v>
      </c>
      <c r="U76">
        <v>1.3531647000000001E-2</v>
      </c>
      <c r="V76">
        <v>0.21232978</v>
      </c>
      <c r="W76">
        <v>6.3192239999999997E-2</v>
      </c>
      <c r="X76">
        <v>1.0951433E-2</v>
      </c>
      <c r="Y76">
        <v>-6.1652165000000002E-2</v>
      </c>
      <c r="Z76">
        <v>-8.3862569999999997E-2</v>
      </c>
      <c r="AA76">
        <v>-8.7230489999999994E-2</v>
      </c>
      <c r="AB76">
        <v>-1.2686413000000001E-2</v>
      </c>
      <c r="AC76">
        <v>7.3059513000000003E-3</v>
      </c>
      <c r="AD76">
        <v>-0.14766014</v>
      </c>
      <c r="AE76">
        <v>-0.14097460000000001</v>
      </c>
      <c r="AF76">
        <v>-6.4952759999999998E-2</v>
      </c>
      <c r="AG76">
        <v>6.2720020000000001E-2</v>
      </c>
      <c r="AH76">
        <v>-0.12143791499999999</v>
      </c>
      <c r="AI76">
        <v>-3.5989694000000003E-2</v>
      </c>
      <c r="AJ76">
        <v>0.12477289</v>
      </c>
      <c r="AK76">
        <v>-0.10161497</v>
      </c>
      <c r="AL76">
        <v>4.4274986000000002E-2</v>
      </c>
      <c r="AM76">
        <v>-9.5080204000000001E-2</v>
      </c>
      <c r="AN76">
        <v>0.19934423000000001</v>
      </c>
      <c r="AO76">
        <v>-0.15030006000000001</v>
      </c>
      <c r="AP76">
        <v>4.2279296000000001E-2</v>
      </c>
      <c r="AQ76">
        <v>1.1542177000000001E-2</v>
      </c>
      <c r="AR76">
        <v>0.1654727</v>
      </c>
      <c r="AS76">
        <v>-0.10501824</v>
      </c>
      <c r="AT76">
        <v>-9.4066954999999994E-2</v>
      </c>
      <c r="AU76">
        <v>4.3828250000000002E-4</v>
      </c>
      <c r="AV76">
        <v>0.15908240000000001</v>
      </c>
      <c r="AW76">
        <v>-5.6119534999999998E-2</v>
      </c>
      <c r="AX76">
        <v>-3.5655896999999999E-2</v>
      </c>
      <c r="AY76">
        <v>-0.18924927999999999</v>
      </c>
      <c r="AZ76">
        <v>4.7656253000000003E-2</v>
      </c>
      <c r="BA76">
        <v>-0.15422738999999999</v>
      </c>
      <c r="BB76">
        <v>0.19438923999999999</v>
      </c>
      <c r="BC76">
        <v>-8.3872854999999996E-2</v>
      </c>
      <c r="BD76">
        <v>-0.18714338999999999</v>
      </c>
      <c r="BE76">
        <v>0.15579515999999999</v>
      </c>
      <c r="BF76">
        <v>2.421566E-3</v>
      </c>
      <c r="BG76">
        <v>-0.1358306</v>
      </c>
      <c r="BH76">
        <v>2.1439096000000001E-2</v>
      </c>
      <c r="BI76">
        <v>0.16579956000000001</v>
      </c>
      <c r="BJ76">
        <v>6.1822835E-2</v>
      </c>
      <c r="BK76">
        <v>-2.9333115999999999E-2</v>
      </c>
      <c r="BL76">
        <v>5.0160304000000003E-2</v>
      </c>
      <c r="BM76">
        <v>-4.7801804000000003E-2</v>
      </c>
      <c r="BN76">
        <v>3.6075405999999997E-2</v>
      </c>
      <c r="BO76">
        <v>-7.6019859999999995E-2</v>
      </c>
      <c r="BP76">
        <v>-0.123680584</v>
      </c>
      <c r="BQ76">
        <v>-3.4689780000000003E-2</v>
      </c>
      <c r="BR76">
        <v>6.103186E-2</v>
      </c>
      <c r="BS76">
        <v>3.1819559999999997E-2</v>
      </c>
      <c r="BT76">
        <v>8.5306560000000003E-2</v>
      </c>
      <c r="BU76">
        <v>-6.1487935000000001E-2</v>
      </c>
      <c r="BV76">
        <v>6.6572510000000001E-2</v>
      </c>
      <c r="BW76">
        <v>9.0788919999999995E-2</v>
      </c>
      <c r="BX76">
        <v>-0.16527260999999999</v>
      </c>
      <c r="BY76">
        <v>-4.9475140000000001E-2</v>
      </c>
      <c r="BZ76">
        <v>-1.3906786000000001E-2</v>
      </c>
      <c r="CA76">
        <v>0.12032919</v>
      </c>
      <c r="CB76">
        <v>0.13505511000000001</v>
      </c>
      <c r="CC76">
        <v>9.6034060000000004E-2</v>
      </c>
      <c r="CD76">
        <v>-7.2817789999999993E-2</v>
      </c>
      <c r="CE76">
        <v>-6.6298969999999999E-2</v>
      </c>
      <c r="CF76">
        <v>-0.13824218999999999</v>
      </c>
      <c r="CG76">
        <v>0.123434216</v>
      </c>
      <c r="CH76">
        <v>4.2599667000000001E-2</v>
      </c>
      <c r="CI76">
        <v>-0.11464004</v>
      </c>
      <c r="CJ76">
        <v>-0.10427519</v>
      </c>
      <c r="CK76">
        <v>0.17268232</v>
      </c>
      <c r="CL76">
        <v>0.24816777000000001</v>
      </c>
      <c r="CM76">
        <v>-9.7458719999999999E-2</v>
      </c>
      <c r="CN76">
        <v>0.14490736000000001</v>
      </c>
      <c r="CO76">
        <v>-0.19978583</v>
      </c>
      <c r="CP76">
        <v>0.11409245</v>
      </c>
      <c r="CQ76">
        <v>-6.8243609999999996E-2</v>
      </c>
      <c r="CR76">
        <v>-0.14161438000000001</v>
      </c>
      <c r="CS76">
        <v>-3.8319815E-2</v>
      </c>
      <c r="CT76">
        <v>7.2111220000000004E-3</v>
      </c>
      <c r="CU76">
        <v>0.13030542000000001</v>
      </c>
      <c r="CV76">
        <v>-8.1701940000000001E-2</v>
      </c>
      <c r="CW76">
        <v>9.1447580000000001E-2</v>
      </c>
      <c r="CX76">
        <v>-9.2422165000000001E-2</v>
      </c>
      <c r="CY76">
        <v>-0.12700110000000001</v>
      </c>
      <c r="CZ76">
        <v>-7.7348810000000004E-2</v>
      </c>
      <c r="DA76">
        <v>-9.0152070000000001E-2</v>
      </c>
      <c r="DB76">
        <v>5.435189E-2</v>
      </c>
      <c r="DC76">
        <v>5.0466946999999998E-2</v>
      </c>
      <c r="DD76">
        <v>1.3789739000000001E-2</v>
      </c>
      <c r="DE76">
        <v>1.4357037E-2</v>
      </c>
      <c r="DF76">
        <v>0.19709149000000001</v>
      </c>
      <c r="DG76">
        <v>-7.1880416999999999E-3</v>
      </c>
      <c r="DH76">
        <v>-9.9699070000000001E-2</v>
      </c>
      <c r="DI76">
        <v>3.0606573000000001E-2</v>
      </c>
      <c r="DJ76">
        <v>8.1396750000000004E-2</v>
      </c>
      <c r="DK76">
        <v>2.2304885E-2</v>
      </c>
      <c r="DL76">
        <v>-9.4983620000000005E-2</v>
      </c>
      <c r="DM76">
        <v>-3.5157955999999997E-2</v>
      </c>
      <c r="DN76">
        <v>-9.3296249999999997E-2</v>
      </c>
      <c r="DO76">
        <v>-0.18286153999999999</v>
      </c>
      <c r="DP76">
        <v>-0.13189339999999999</v>
      </c>
      <c r="DQ76">
        <v>-4.7528109999999998E-2</v>
      </c>
      <c r="DR76">
        <v>-4.1967865E-2</v>
      </c>
      <c r="DS76">
        <v>7.182297E-2</v>
      </c>
      <c r="DT76">
        <v>2.9563926000000001E-2</v>
      </c>
      <c r="DU76">
        <v>0.11880384400000001</v>
      </c>
      <c r="DV76">
        <v>0.13081590000000001</v>
      </c>
      <c r="DW76">
        <v>6.6578239999999997E-3</v>
      </c>
      <c r="DX76">
        <v>-1.2182375E-2</v>
      </c>
      <c r="DY76">
        <v>-5.4336744999999999E-2</v>
      </c>
      <c r="DZ76">
        <v>1.40998475E-2</v>
      </c>
    </row>
    <row r="77" spans="1:130" x14ac:dyDescent="0.3">
      <c r="A77">
        <f>Board!$C$8</f>
        <v>0</v>
      </c>
      <c r="C77">
        <v>-0.29167189999999998</v>
      </c>
      <c r="D77">
        <v>-0.41691884000000001</v>
      </c>
      <c r="E77">
        <v>-1.4881215999999999E-2</v>
      </c>
      <c r="F77">
        <v>0.19162199999999999</v>
      </c>
      <c r="G77">
        <v>-7.9678280000000004E-2</v>
      </c>
      <c r="H77">
        <v>0.19213204</v>
      </c>
      <c r="I77">
        <v>0.11080419</v>
      </c>
      <c r="J77">
        <v>-0.46832721999999999</v>
      </c>
      <c r="K77">
        <v>-0.37021442999999998</v>
      </c>
      <c r="L77">
        <v>-0.19528390000000001</v>
      </c>
      <c r="M77">
        <v>-9.1634489999999999E-2</v>
      </c>
      <c r="N77">
        <v>3.9115466000000002E-2</v>
      </c>
      <c r="O77">
        <v>-4.5487069999999998E-2</v>
      </c>
      <c r="P77">
        <v>0.21888647999999999</v>
      </c>
      <c r="Q77">
        <v>-1.422496E-2</v>
      </c>
      <c r="R77">
        <v>4.1670177000000003E-2</v>
      </c>
      <c r="S77">
        <v>3.1447016000000001E-2</v>
      </c>
      <c r="T77">
        <v>-6.415564E-2</v>
      </c>
      <c r="U77">
        <v>-6.5467670000000006E-2</v>
      </c>
      <c r="V77">
        <v>0.11055386</v>
      </c>
      <c r="W77">
        <v>-9.5240099999999994E-2</v>
      </c>
      <c r="X77">
        <v>0.15483637</v>
      </c>
      <c r="Y77">
        <v>0.26819572000000003</v>
      </c>
      <c r="Z77">
        <v>0.13129672000000001</v>
      </c>
      <c r="AA77">
        <v>-0.21851646999999999</v>
      </c>
      <c r="AB77">
        <v>4.4273372999999998E-2</v>
      </c>
      <c r="AC77">
        <v>-0.14585683999999999</v>
      </c>
      <c r="AD77">
        <v>-0.34394987999999999</v>
      </c>
      <c r="AE77">
        <v>-0.22780517</v>
      </c>
      <c r="AF77">
        <v>-0.21146334999999999</v>
      </c>
      <c r="AG77">
        <v>5.5242833000000002E-3</v>
      </c>
      <c r="AH77">
        <v>-0.22306480000000001</v>
      </c>
      <c r="AI77">
        <v>0.40571580000000002</v>
      </c>
      <c r="AJ77">
        <v>-0.36104771000000002</v>
      </c>
      <c r="AK77">
        <v>0.10078620000000001</v>
      </c>
      <c r="AL77">
        <v>-0.32452372000000002</v>
      </c>
      <c r="AM77">
        <v>0.17067193999999999</v>
      </c>
      <c r="AN77">
        <v>0.12607679999999999</v>
      </c>
      <c r="AO77">
        <v>4.3717876000000003E-2</v>
      </c>
      <c r="AP77">
        <v>2.2449207999999998E-2</v>
      </c>
      <c r="AQ77">
        <v>-1.6610399000000001E-2</v>
      </c>
      <c r="AR77">
        <v>0.13021430000000001</v>
      </c>
      <c r="AS77">
        <v>6.4350350000000001E-2</v>
      </c>
      <c r="AT77">
        <v>-0.16132529000000001</v>
      </c>
      <c r="AU77">
        <v>-0.15103246000000001</v>
      </c>
      <c r="AV77">
        <v>2.5351097999999999E-2</v>
      </c>
      <c r="AW77">
        <v>4.720888E-5</v>
      </c>
      <c r="AX77">
        <v>-5.669656E-2</v>
      </c>
      <c r="AY77">
        <v>0.114183225</v>
      </c>
      <c r="AZ77">
        <v>0.13618347</v>
      </c>
      <c r="BA77">
        <v>9.4410469999999993E-3</v>
      </c>
      <c r="BB77">
        <v>0.18249144</v>
      </c>
      <c r="BC77">
        <v>-0.19250412</v>
      </c>
      <c r="BD77">
        <v>-9.9398000000000004E-3</v>
      </c>
      <c r="BE77">
        <v>0.14245037999999999</v>
      </c>
      <c r="BF77">
        <v>-0.22471526</v>
      </c>
      <c r="BG77">
        <v>0.22924311</v>
      </c>
      <c r="BH77">
        <v>0.18407965000000001</v>
      </c>
      <c r="BI77">
        <v>-0.19801392000000001</v>
      </c>
      <c r="BJ77">
        <v>0.1286561</v>
      </c>
      <c r="BK77">
        <v>-6.5688469999999999E-2</v>
      </c>
      <c r="BL77">
        <v>7.3907970000000003E-2</v>
      </c>
      <c r="BM77">
        <v>0.22036363</v>
      </c>
      <c r="BN77">
        <v>0.16733618</v>
      </c>
      <c r="BO77">
        <v>-6.9244669999999994E-2</v>
      </c>
      <c r="BP77">
        <v>-3.7388017000000002E-3</v>
      </c>
      <c r="BQ77">
        <v>4.5116150000000001E-3</v>
      </c>
      <c r="BR77">
        <v>5.2216206000000001E-2</v>
      </c>
      <c r="BS77">
        <v>-0.13205766999999999</v>
      </c>
      <c r="BT77">
        <v>6.3684480000000002E-2</v>
      </c>
      <c r="BU77">
        <v>-0.11801997</v>
      </c>
      <c r="BV77">
        <v>0.17271417</v>
      </c>
      <c r="BW77">
        <v>5.8840155999999998E-2</v>
      </c>
      <c r="BX77">
        <v>-0.28880181999999999</v>
      </c>
      <c r="BY77">
        <v>-9.8529585000000003E-2</v>
      </c>
      <c r="BZ77">
        <v>-0.11967651</v>
      </c>
      <c r="CA77">
        <v>0.15621747</v>
      </c>
      <c r="CB77">
        <v>-0.4871335</v>
      </c>
      <c r="CC77">
        <v>0.20281847</v>
      </c>
      <c r="CD77">
        <v>-0.10414408</v>
      </c>
      <c r="CE77">
        <v>0.109230675</v>
      </c>
      <c r="CF77">
        <v>4.2358665000000002E-3</v>
      </c>
      <c r="CG77">
        <v>-4.9931639999999996E-3</v>
      </c>
      <c r="CH77">
        <v>0.17502806000000001</v>
      </c>
      <c r="CI77">
        <v>4.1837880000000001E-2</v>
      </c>
      <c r="CJ77">
        <v>0.17990181999999999</v>
      </c>
      <c r="CK77">
        <v>0.24575636000000001</v>
      </c>
      <c r="CL77">
        <v>0.41916882999999999</v>
      </c>
      <c r="CM77">
        <v>0.16255534999999999</v>
      </c>
      <c r="CN77">
        <v>-0.13290705</v>
      </c>
      <c r="CO77">
        <v>0.10540538000000001</v>
      </c>
      <c r="CP77">
        <v>-0.15384617</v>
      </c>
      <c r="CQ77">
        <v>6.1526570000000003E-2</v>
      </c>
      <c r="CR77">
        <v>0.15994800000000001</v>
      </c>
      <c r="CS77">
        <v>-4.186177E-2</v>
      </c>
      <c r="CT77">
        <v>-8.3777740000000003E-2</v>
      </c>
      <c r="CU77">
        <v>0.14020204999999999</v>
      </c>
      <c r="CV77">
        <v>-0.15498680000000001</v>
      </c>
      <c r="CW77">
        <v>-1.2718868999999999E-3</v>
      </c>
      <c r="CX77">
        <v>0.110110044</v>
      </c>
      <c r="CY77">
        <v>0.34219169999999999</v>
      </c>
      <c r="CZ77">
        <v>-5.4664696999999998E-2</v>
      </c>
      <c r="DA77">
        <v>-9.6151520000000004E-2</v>
      </c>
      <c r="DB77">
        <v>0.15963078999999999</v>
      </c>
      <c r="DC77">
        <v>-0.17859518999999999</v>
      </c>
      <c r="DD77">
        <v>-0.15070274</v>
      </c>
      <c r="DE77">
        <v>1.3083202E-2</v>
      </c>
      <c r="DF77">
        <v>0.1389997</v>
      </c>
      <c r="DG77">
        <v>-0.10560688</v>
      </c>
      <c r="DH77">
        <v>5.7259213000000003E-2</v>
      </c>
      <c r="DI77">
        <v>0.15989709999999999</v>
      </c>
      <c r="DJ77">
        <v>0.14124179000000001</v>
      </c>
      <c r="DK77">
        <v>-0.12018982</v>
      </c>
      <c r="DL77">
        <v>-0.12447706</v>
      </c>
      <c r="DM77">
        <v>-2.3823697000000001E-2</v>
      </c>
      <c r="DN77">
        <v>0.18880748999999999</v>
      </c>
      <c r="DO77">
        <v>-1.9003051999999999E-2</v>
      </c>
      <c r="DP77">
        <v>-8.1199309999999997E-2</v>
      </c>
      <c r="DQ77">
        <v>0.10770915</v>
      </c>
      <c r="DR77">
        <v>0.42089320000000002</v>
      </c>
      <c r="DS77">
        <v>0.23370315</v>
      </c>
      <c r="DT77">
        <v>-0.29611880000000002</v>
      </c>
      <c r="DU77">
        <v>-0.12474667</v>
      </c>
      <c r="DV77">
        <v>-0.15171150999999999</v>
      </c>
      <c r="DW77">
        <v>8.1448859999999998E-2</v>
      </c>
      <c r="DX77">
        <v>-0.37753996000000001</v>
      </c>
      <c r="DY77">
        <v>5.005453E-2</v>
      </c>
      <c r="DZ77">
        <v>0.120215535</v>
      </c>
    </row>
    <row r="78" spans="1:130" x14ac:dyDescent="0.3">
      <c r="A78">
        <f>Board!$D$8</f>
        <v>0</v>
      </c>
      <c r="C78">
        <v>5.9601843000000002E-2</v>
      </c>
      <c r="D78">
        <v>-0.49315792000000003</v>
      </c>
      <c r="E78">
        <v>6.5606020000000001E-2</v>
      </c>
      <c r="F78">
        <v>0.29294312</v>
      </c>
      <c r="G78">
        <v>-0.19857675999999999</v>
      </c>
      <c r="H78">
        <v>3.3755175999999998E-2</v>
      </c>
      <c r="I78">
        <v>9.586161E-2</v>
      </c>
      <c r="J78">
        <v>-0.25805050000000002</v>
      </c>
      <c r="K78">
        <v>-1.7926607000000001E-2</v>
      </c>
      <c r="L78">
        <v>-0.115183234</v>
      </c>
      <c r="M78">
        <v>-0.24127148000000001</v>
      </c>
      <c r="N78">
        <v>4.5311249999999997E-2</v>
      </c>
      <c r="O78">
        <v>-0.28509881999999998</v>
      </c>
      <c r="P78">
        <v>0.31842193000000002</v>
      </c>
      <c r="Q78">
        <v>4.2590797E-2</v>
      </c>
      <c r="R78">
        <v>9.1792949999999998E-2</v>
      </c>
      <c r="S78">
        <v>-2.7429715E-2</v>
      </c>
      <c r="T78">
        <v>3.1218119999999999E-3</v>
      </c>
      <c r="U78">
        <v>-0.13379271000000001</v>
      </c>
      <c r="V78">
        <v>0.15736810000000001</v>
      </c>
      <c r="W78">
        <v>-0.28081329999999999</v>
      </c>
      <c r="X78">
        <v>-2.0136959999999999E-2</v>
      </c>
      <c r="Y78">
        <v>-5.6293721999999997E-2</v>
      </c>
      <c r="Z78">
        <v>0.10345865999999999</v>
      </c>
      <c r="AA78">
        <v>-6.3517190000000001E-2</v>
      </c>
      <c r="AB78">
        <v>0.15762590000000001</v>
      </c>
      <c r="AC78">
        <v>0.10783984000000001</v>
      </c>
      <c r="AD78">
        <v>-0.42229220000000001</v>
      </c>
      <c r="AE78">
        <v>-0.36016340000000002</v>
      </c>
      <c r="AF78">
        <v>-0.39788560000000001</v>
      </c>
      <c r="AG78">
        <v>0.19875263000000001</v>
      </c>
      <c r="AH78">
        <v>-9.1555520000000001E-2</v>
      </c>
      <c r="AI78">
        <v>-2.1783117000000001E-2</v>
      </c>
      <c r="AJ78">
        <v>-0.23188595000000001</v>
      </c>
      <c r="AK78">
        <v>4.1272639999999999E-2</v>
      </c>
      <c r="AL78">
        <v>-0.10671344000000001</v>
      </c>
      <c r="AM78">
        <v>1.7771881E-2</v>
      </c>
      <c r="AN78">
        <v>8.5844606000000004E-2</v>
      </c>
      <c r="AO78">
        <v>0.15996020999999999</v>
      </c>
      <c r="AP78">
        <v>-0.26988413999999999</v>
      </c>
      <c r="AQ78">
        <v>0.14924957999999999</v>
      </c>
      <c r="AR78">
        <v>-0.14143157000000001</v>
      </c>
      <c r="AS78">
        <v>-0.18961597999999999</v>
      </c>
      <c r="AT78">
        <v>2.3968919999999999E-3</v>
      </c>
      <c r="AU78">
        <v>2.2381304000000001E-2</v>
      </c>
      <c r="AV78">
        <v>-0.18673186</v>
      </c>
      <c r="AW78">
        <v>-1.1864273E-2</v>
      </c>
      <c r="AX78">
        <v>-1.7265143E-2</v>
      </c>
      <c r="AY78">
        <v>2.4508378000000001E-2</v>
      </c>
      <c r="AZ78">
        <v>0.28753810000000002</v>
      </c>
      <c r="BA78">
        <v>-0.14449756</v>
      </c>
      <c r="BB78">
        <v>0.21237275999999999</v>
      </c>
      <c r="BC78">
        <v>6.4481720000000006E-2</v>
      </c>
      <c r="BD78">
        <v>8.1725300000000001E-2</v>
      </c>
      <c r="BE78">
        <v>5.5143416000000001E-2</v>
      </c>
      <c r="BF78">
        <v>-0.49462604999999998</v>
      </c>
      <c r="BG78">
        <v>0.25834047999999998</v>
      </c>
      <c r="BH78">
        <v>0.24842422</v>
      </c>
      <c r="BI78">
        <v>-0.24853049999999999</v>
      </c>
      <c r="BJ78">
        <v>-0.30302941999999999</v>
      </c>
      <c r="BK78">
        <v>-0.17648048999999999</v>
      </c>
      <c r="BL78">
        <v>0.23982919999999999</v>
      </c>
      <c r="BM78">
        <v>0.17944628000000001</v>
      </c>
      <c r="BN78">
        <v>0.36680410000000002</v>
      </c>
      <c r="BO78">
        <v>-5.3834079999999999E-2</v>
      </c>
      <c r="BP78">
        <v>-5.6462537E-2</v>
      </c>
      <c r="BQ78">
        <v>0.13596593000000001</v>
      </c>
      <c r="BR78">
        <v>4.4670324999999997E-2</v>
      </c>
      <c r="BS78">
        <v>0.14172815999999999</v>
      </c>
      <c r="BT78">
        <v>-0.14255232000000001</v>
      </c>
      <c r="BU78">
        <v>-0.13749181999999999</v>
      </c>
      <c r="BV78">
        <v>3.2996419999999999E-2</v>
      </c>
      <c r="BW78">
        <v>-4.1753430000000001E-2</v>
      </c>
      <c r="BX78">
        <v>-0.21072468</v>
      </c>
      <c r="BY78">
        <v>1.7125334999999998E-2</v>
      </c>
      <c r="BZ78">
        <v>-7.8641504000000001E-2</v>
      </c>
      <c r="CA78">
        <v>-0.20844362999999999</v>
      </c>
      <c r="CB78">
        <v>-0.23766356999999999</v>
      </c>
      <c r="CC78">
        <v>0.20566276</v>
      </c>
      <c r="CD78">
        <v>-6.0418600000000003E-2</v>
      </c>
      <c r="CE78">
        <v>0.10112937499999999</v>
      </c>
      <c r="CF78">
        <v>0.30915025000000002</v>
      </c>
      <c r="CG78">
        <v>9.0419546000000003E-2</v>
      </c>
      <c r="CH78">
        <v>-7.6210879999999995E-2</v>
      </c>
      <c r="CI78">
        <v>1.4246854999999999E-2</v>
      </c>
      <c r="CJ78">
        <v>0.13980803</v>
      </c>
      <c r="CK78">
        <v>0.14482138</v>
      </c>
      <c r="CL78">
        <v>3.917375E-2</v>
      </c>
      <c r="CM78">
        <v>0.22736703999999999</v>
      </c>
      <c r="CN78">
        <v>-0.25900289999999998</v>
      </c>
      <c r="CO78">
        <v>0.19942114</v>
      </c>
      <c r="CP78">
        <v>0.14061288999999999</v>
      </c>
      <c r="CQ78">
        <v>0.34897104000000001</v>
      </c>
      <c r="CR78">
        <v>0.10875156</v>
      </c>
      <c r="CS78">
        <v>-0.21546681000000001</v>
      </c>
      <c r="CT78">
        <v>-0.13307474999999999</v>
      </c>
      <c r="CU78">
        <v>-0.16862278</v>
      </c>
      <c r="CV78">
        <v>-2.997768E-2</v>
      </c>
      <c r="CW78">
        <v>-5.6268156E-2</v>
      </c>
      <c r="CX78">
        <v>-0.18872459</v>
      </c>
      <c r="CY78">
        <v>0.45352045000000002</v>
      </c>
      <c r="CZ78">
        <v>-7.7007300000000001E-2</v>
      </c>
      <c r="DA78">
        <v>2.3475501999999999E-2</v>
      </c>
      <c r="DB78">
        <v>0.36686175999999998</v>
      </c>
      <c r="DC78">
        <v>-5.9264459999999998E-2</v>
      </c>
      <c r="DD78">
        <v>8.603566E-2</v>
      </c>
      <c r="DE78">
        <v>-0.18704116000000001</v>
      </c>
      <c r="DF78">
        <v>-8.6673359999999994E-3</v>
      </c>
      <c r="DG78">
        <v>-0.24667106999999999</v>
      </c>
      <c r="DH78">
        <v>3.6917846999999997E-2</v>
      </c>
      <c r="DI78">
        <v>0.23988366</v>
      </c>
      <c r="DJ78">
        <v>7.6648659999999993E-2</v>
      </c>
      <c r="DK78">
        <v>9.9365844999999994E-2</v>
      </c>
      <c r="DL78">
        <v>-4.2596769999999999E-2</v>
      </c>
      <c r="DM78">
        <v>0.11293681999999999</v>
      </c>
      <c r="DN78">
        <v>0.114520624</v>
      </c>
      <c r="DO78">
        <v>-8.2962720000000004E-3</v>
      </c>
      <c r="DP78">
        <v>9.6938369999999996E-2</v>
      </c>
      <c r="DQ78">
        <v>7.8030050000000004E-2</v>
      </c>
      <c r="DR78">
        <v>0.16454518000000001</v>
      </c>
      <c r="DS78">
        <v>3.4763634000000002E-2</v>
      </c>
      <c r="DT78">
        <v>-0.29774572999999999</v>
      </c>
      <c r="DU78">
        <v>-9.9797129999999998E-2</v>
      </c>
      <c r="DV78">
        <v>-4.5332446999999998E-2</v>
      </c>
      <c r="DW78">
        <v>0.17423920000000001</v>
      </c>
      <c r="DX78">
        <v>-0.48060710000000001</v>
      </c>
      <c r="DY78">
        <v>0.23025562999999999</v>
      </c>
      <c r="DZ78">
        <v>-0.29598743</v>
      </c>
    </row>
    <row r="79" spans="1:130" x14ac:dyDescent="0.3">
      <c r="A79">
        <f>Board!$E$8</f>
        <v>0</v>
      </c>
      <c r="C79">
        <v>-8.5779733999999996E-2</v>
      </c>
      <c r="D79">
        <v>-0.41444524999999999</v>
      </c>
      <c r="E79">
        <v>4.014181E-2</v>
      </c>
      <c r="F79">
        <v>1.8671859999999998E-2</v>
      </c>
      <c r="G79">
        <v>-8.3554290000000003E-2</v>
      </c>
      <c r="H79">
        <v>-0.18897174</v>
      </c>
      <c r="I79">
        <v>0.11595427</v>
      </c>
      <c r="J79">
        <v>-0.1201421</v>
      </c>
      <c r="K79">
        <v>-5.2354461999999997E-2</v>
      </c>
      <c r="L79">
        <v>-0.23276749999999999</v>
      </c>
      <c r="M79">
        <v>-2.5773093E-2</v>
      </c>
      <c r="N79">
        <v>-5.5997506000000002E-2</v>
      </c>
      <c r="O79">
        <v>-4.0275461999999998E-2</v>
      </c>
      <c r="P79">
        <v>0.20566582999999999</v>
      </c>
      <c r="Q79">
        <v>0.15834520999999999</v>
      </c>
      <c r="R79">
        <v>3.815495E-2</v>
      </c>
      <c r="S79">
        <v>0.106251754</v>
      </c>
      <c r="T79">
        <v>0.10505966999999999</v>
      </c>
      <c r="U79">
        <v>0.17126591999999999</v>
      </c>
      <c r="V79">
        <v>0.20031773999999999</v>
      </c>
      <c r="W79">
        <v>-5.4938630000000002E-2</v>
      </c>
      <c r="X79">
        <v>8.5085123999999998E-2</v>
      </c>
      <c r="Y79">
        <v>-1.2113941E-2</v>
      </c>
      <c r="Z79">
        <v>4.0882441999999998E-2</v>
      </c>
      <c r="AA79">
        <v>3.3673686000000001E-3</v>
      </c>
      <c r="AB79">
        <v>0.13926955999999999</v>
      </c>
      <c r="AC79">
        <v>5.5372664E-3</v>
      </c>
      <c r="AD79">
        <v>-0.42834145000000001</v>
      </c>
      <c r="AE79">
        <v>-0.18266055</v>
      </c>
      <c r="AF79">
        <v>3.6277454000000001E-2</v>
      </c>
      <c r="AG79">
        <v>6.1245760000000003E-2</v>
      </c>
      <c r="AH79">
        <v>-0.23029047</v>
      </c>
      <c r="AI79">
        <v>2.2929129999999999E-2</v>
      </c>
      <c r="AJ79">
        <v>-2.5232234999999999E-2</v>
      </c>
      <c r="AK79">
        <v>0.4028139</v>
      </c>
      <c r="AL79">
        <v>-0.28442672000000002</v>
      </c>
      <c r="AM79">
        <v>-4.3570099999999997E-3</v>
      </c>
      <c r="AN79">
        <v>-2.0685846000000001E-2</v>
      </c>
      <c r="AO79">
        <v>0.26317582</v>
      </c>
      <c r="AP79">
        <v>-0.15842133999999999</v>
      </c>
      <c r="AQ79">
        <v>8.6405075999999997E-2</v>
      </c>
      <c r="AR79">
        <v>-0.14208214999999999</v>
      </c>
      <c r="AS79">
        <v>0.120054774</v>
      </c>
      <c r="AT79">
        <v>0.15172105999999999</v>
      </c>
      <c r="AU79">
        <v>-3.971264E-2</v>
      </c>
      <c r="AV79">
        <v>-1.4715981E-2</v>
      </c>
      <c r="AW79">
        <v>0.12725396</v>
      </c>
      <c r="AX79">
        <v>-0.19639034999999999</v>
      </c>
      <c r="AY79">
        <v>0.10568391000000001</v>
      </c>
      <c r="AZ79">
        <v>-3.6417190000000002E-2</v>
      </c>
      <c r="BA79">
        <v>-0.36585321999999998</v>
      </c>
      <c r="BB79">
        <v>-5.9184085999999997E-2</v>
      </c>
      <c r="BC79">
        <v>9.9968280000000007E-2</v>
      </c>
      <c r="BD79">
        <v>0.18675262000000001</v>
      </c>
      <c r="BE79">
        <v>3.4119375E-2</v>
      </c>
      <c r="BF79">
        <v>-0.39289596999999998</v>
      </c>
      <c r="BG79">
        <v>7.8548740000000006E-2</v>
      </c>
      <c r="BH79">
        <v>0.26005536000000001</v>
      </c>
      <c r="BI79">
        <v>0.15154031000000001</v>
      </c>
      <c r="BJ79">
        <v>-0.24210590000000001</v>
      </c>
      <c r="BK79">
        <v>-0.17863508</v>
      </c>
      <c r="BL79">
        <v>4.1577863999999999E-2</v>
      </c>
      <c r="BM79">
        <v>1.3637237000000001E-3</v>
      </c>
      <c r="BN79">
        <v>0.15541856000000001</v>
      </c>
      <c r="BO79">
        <v>-0.31623923999999998</v>
      </c>
      <c r="BP79">
        <v>-0.13422771</v>
      </c>
      <c r="BQ79">
        <v>0.20515248</v>
      </c>
      <c r="BR79">
        <v>-0.14455409999999999</v>
      </c>
      <c r="BS79">
        <v>0.20221339999999999</v>
      </c>
      <c r="BT79">
        <v>-0.20461936</v>
      </c>
      <c r="BU79">
        <v>-9.7070180000000006E-2</v>
      </c>
      <c r="BV79">
        <v>0.10709109999999999</v>
      </c>
      <c r="BW79">
        <v>0.14646834</v>
      </c>
      <c r="BX79">
        <v>-8.6239440000000001E-2</v>
      </c>
      <c r="BY79">
        <v>3.4933760000000001E-2</v>
      </c>
      <c r="BZ79">
        <v>-0.14504026</v>
      </c>
      <c r="CA79">
        <v>-0.16621667000000001</v>
      </c>
      <c r="CB79">
        <v>-0.14099576</v>
      </c>
      <c r="CC79">
        <v>0.28542289999999998</v>
      </c>
      <c r="CD79">
        <v>-9.0239070000000005E-2</v>
      </c>
      <c r="CE79">
        <v>0.35686874000000002</v>
      </c>
      <c r="CF79">
        <v>-3.3009466000000001E-2</v>
      </c>
      <c r="CG79">
        <v>0.13229547</v>
      </c>
      <c r="CH79">
        <v>-0.22433844</v>
      </c>
      <c r="CI79">
        <v>-2.2874100000000001E-2</v>
      </c>
      <c r="CJ79">
        <v>0.23290119000000001</v>
      </c>
      <c r="CK79">
        <v>0.12043339</v>
      </c>
      <c r="CL79">
        <v>-0.21121446999999999</v>
      </c>
      <c r="CM79">
        <v>-2.7367345E-3</v>
      </c>
      <c r="CN79">
        <v>-0.22036170999999999</v>
      </c>
      <c r="CO79">
        <v>5.2619720000000002E-2</v>
      </c>
      <c r="CP79">
        <v>0.11053747</v>
      </c>
      <c r="CQ79">
        <v>0.28527582000000001</v>
      </c>
      <c r="CR79">
        <v>0.29991420000000002</v>
      </c>
      <c r="CS79">
        <v>-0.10526093</v>
      </c>
      <c r="CT79">
        <v>-3.6819022E-2</v>
      </c>
      <c r="CU79">
        <v>-0.14632131000000001</v>
      </c>
      <c r="CV79">
        <v>-1.6102124000000001E-3</v>
      </c>
      <c r="CW79">
        <v>-0.13096540000000001</v>
      </c>
      <c r="CX79">
        <v>-4.3034796E-2</v>
      </c>
      <c r="CY79">
        <v>0.38461234999999999</v>
      </c>
      <c r="CZ79">
        <v>4.9139139999999998E-2</v>
      </c>
      <c r="DA79">
        <v>0.24852880999999999</v>
      </c>
      <c r="DB79">
        <v>0.41858571999999999</v>
      </c>
      <c r="DC79">
        <v>1.3258242999999999E-2</v>
      </c>
      <c r="DD79">
        <v>0.10590947000000001</v>
      </c>
      <c r="DE79">
        <v>-0.58286450000000001</v>
      </c>
      <c r="DF79">
        <v>0.16919503999999999</v>
      </c>
      <c r="DG79">
        <v>-0.1994784</v>
      </c>
      <c r="DH79">
        <v>0.12953201</v>
      </c>
      <c r="DI79">
        <v>0.2418273</v>
      </c>
      <c r="DJ79">
        <v>0.40236694000000001</v>
      </c>
      <c r="DK79">
        <v>-2.7145692999999999E-2</v>
      </c>
      <c r="DL79">
        <v>0.13685589000000001</v>
      </c>
      <c r="DM79">
        <v>-1.0752856999999999E-2</v>
      </c>
      <c r="DN79">
        <v>-4.3998539999999999E-3</v>
      </c>
      <c r="DO79">
        <v>-1.1701483E-2</v>
      </c>
      <c r="DP79">
        <v>0.36566132000000001</v>
      </c>
      <c r="DQ79">
        <v>1.1043133E-2</v>
      </c>
      <c r="DR79">
        <v>0.14423132999999999</v>
      </c>
      <c r="DS79">
        <v>0.15158068</v>
      </c>
      <c r="DT79">
        <v>-5.5470449999999998E-2</v>
      </c>
      <c r="DU79">
        <v>0.16956413000000001</v>
      </c>
      <c r="DV79">
        <v>-7.925168E-4</v>
      </c>
      <c r="DW79">
        <v>0.19983761</v>
      </c>
      <c r="DX79">
        <v>-0.37962817999999998</v>
      </c>
      <c r="DY79">
        <v>0.27625485999999999</v>
      </c>
      <c r="DZ79">
        <v>-0.19198446999999999</v>
      </c>
    </row>
    <row r="80" spans="1:130" x14ac:dyDescent="0.3">
      <c r="A80">
        <f>Board!$F$8</f>
        <v>0</v>
      </c>
      <c r="C80">
        <v>5.6300450000000002E-2</v>
      </c>
      <c r="D80">
        <v>-0.26749673000000002</v>
      </c>
      <c r="E80">
        <v>0.10897685</v>
      </c>
      <c r="F80">
        <v>-0.33153164000000002</v>
      </c>
      <c r="G80">
        <v>-0.14982206000000001</v>
      </c>
      <c r="H80">
        <v>0.109588005</v>
      </c>
      <c r="I80">
        <v>0.19906104999999999</v>
      </c>
      <c r="J80">
        <v>-0.27840822999999998</v>
      </c>
      <c r="K80">
        <v>0.22577443999999999</v>
      </c>
      <c r="L80">
        <v>0.17607390000000001</v>
      </c>
      <c r="M80">
        <v>0.15901551999999999</v>
      </c>
      <c r="N80">
        <v>0.14799963999999999</v>
      </c>
      <c r="O80">
        <v>-5.6632589999999997E-2</v>
      </c>
      <c r="P80">
        <v>0.16664340999999999</v>
      </c>
      <c r="Q80">
        <v>0.17924179000000001</v>
      </c>
      <c r="R80">
        <v>0.10079214</v>
      </c>
      <c r="S80">
        <v>5.8047120000000001E-2</v>
      </c>
      <c r="T80">
        <v>5.8824940000000003E-3</v>
      </c>
      <c r="U80">
        <v>0.10349936</v>
      </c>
      <c r="V80">
        <v>0.13998836000000001</v>
      </c>
      <c r="W80">
        <v>-0.20366338</v>
      </c>
      <c r="X80">
        <v>0.32947822999999998</v>
      </c>
      <c r="Y80">
        <v>-0.15691975999999999</v>
      </c>
      <c r="Z80">
        <v>-2.6992374999999999E-2</v>
      </c>
      <c r="AA80">
        <v>-0.108985074</v>
      </c>
      <c r="AB80">
        <v>-4.3047804000000002E-2</v>
      </c>
      <c r="AC80">
        <v>0.19736286</v>
      </c>
      <c r="AD80">
        <v>-9.0065950000000006E-2</v>
      </c>
      <c r="AE80">
        <v>0.13268754999999999</v>
      </c>
      <c r="AF80">
        <v>0.18426493999999999</v>
      </c>
      <c r="AG80">
        <v>7.5346549999999998E-2</v>
      </c>
      <c r="AH80">
        <v>-3.4464740000000001E-2</v>
      </c>
      <c r="AI80">
        <v>7.7585029999999999E-2</v>
      </c>
      <c r="AJ80">
        <v>0.32865032999999999</v>
      </c>
      <c r="AK80">
        <v>6.2411580000000001E-2</v>
      </c>
      <c r="AL80">
        <v>7.6127210000000001E-2</v>
      </c>
      <c r="AM80">
        <v>9.7869255000000002E-2</v>
      </c>
      <c r="AN80">
        <v>-4.5754929999999999E-3</v>
      </c>
      <c r="AO80">
        <v>0.35004975999999999</v>
      </c>
      <c r="AP80">
        <v>-0.18107762999999999</v>
      </c>
      <c r="AQ80">
        <v>0.12495772500000001</v>
      </c>
      <c r="AR80">
        <v>-0.23544926999999999</v>
      </c>
      <c r="AS80">
        <v>-6.0726490000000003E-3</v>
      </c>
      <c r="AT80">
        <v>0.23322472999999999</v>
      </c>
      <c r="AU80">
        <v>0.13345041999999999</v>
      </c>
      <c r="AV80">
        <v>2.5776965999999998E-2</v>
      </c>
      <c r="AW80">
        <v>0.25346854000000002</v>
      </c>
      <c r="AX80">
        <v>-0.20861489999999999</v>
      </c>
      <c r="AY80">
        <v>9.9015720000000002E-2</v>
      </c>
      <c r="AZ80">
        <v>-6.3854426000000006E-2</v>
      </c>
      <c r="BA80">
        <v>-0.22880301</v>
      </c>
      <c r="BB80">
        <v>-2.0825601999999999E-2</v>
      </c>
      <c r="BC80">
        <v>0.39863991999999998</v>
      </c>
      <c r="BD80">
        <v>0.44609690000000002</v>
      </c>
      <c r="BE80">
        <v>-0.18308326999999999</v>
      </c>
      <c r="BF80">
        <v>9.5913440000000003E-2</v>
      </c>
      <c r="BG80">
        <v>0.16343604</v>
      </c>
      <c r="BH80">
        <v>0.20293902999999999</v>
      </c>
      <c r="BI80">
        <v>-3.4014049999999997E-2</v>
      </c>
      <c r="BJ80">
        <v>-0.13216053</v>
      </c>
      <c r="BK80">
        <v>-2.5338777000000002E-3</v>
      </c>
      <c r="BL80">
        <v>8.5491609999999996E-2</v>
      </c>
      <c r="BM80">
        <v>-8.0251320000000001E-2</v>
      </c>
      <c r="BN80">
        <v>-0.12088148999999999</v>
      </c>
      <c r="BO80">
        <v>-0.10636996</v>
      </c>
      <c r="BP80">
        <v>2.779827E-2</v>
      </c>
      <c r="BQ80">
        <v>7.7934290000000003E-2</v>
      </c>
      <c r="BR80">
        <v>-1.7900754000000001E-2</v>
      </c>
      <c r="BS80">
        <v>0.13552521000000001</v>
      </c>
      <c r="BT80">
        <v>-0.13652378000000001</v>
      </c>
      <c r="BU80">
        <v>6.7745349999999996E-2</v>
      </c>
      <c r="BV80">
        <v>-2.5869575999999998E-2</v>
      </c>
      <c r="BW80">
        <v>0.49149996000000001</v>
      </c>
      <c r="BX80">
        <v>-5.6764964000000001E-2</v>
      </c>
      <c r="BY80">
        <v>0.21968499</v>
      </c>
      <c r="BZ80">
        <v>-0.17667630000000001</v>
      </c>
      <c r="CA80">
        <v>3.3789262E-2</v>
      </c>
      <c r="CB80">
        <v>0.14398430000000001</v>
      </c>
      <c r="CC80">
        <v>0.11747992</v>
      </c>
      <c r="CD80">
        <v>-7.5100650000000005E-2</v>
      </c>
      <c r="CE80">
        <v>0.37181017</v>
      </c>
      <c r="CF80">
        <v>3.7536699999999999E-2</v>
      </c>
      <c r="CG80">
        <v>-0.25145119999999999</v>
      </c>
      <c r="CH80">
        <v>-0.27513346</v>
      </c>
      <c r="CI80">
        <v>-0.12178269999999999</v>
      </c>
      <c r="CJ80">
        <v>-0.41416540000000002</v>
      </c>
      <c r="CK80">
        <v>1.2039438E-2</v>
      </c>
      <c r="CL80">
        <v>-0.23982015000000001</v>
      </c>
      <c r="CM80">
        <v>-9.5521019999999998E-3</v>
      </c>
      <c r="CN80">
        <v>-0.3376441</v>
      </c>
      <c r="CO80">
        <v>0.12237175</v>
      </c>
      <c r="CP80">
        <v>-6.6829760000000002E-2</v>
      </c>
      <c r="CQ80">
        <v>-7.1323040000000004E-2</v>
      </c>
      <c r="CR80">
        <v>0.35008119999999998</v>
      </c>
      <c r="CS80">
        <v>-0.15258965999999999</v>
      </c>
      <c r="CT80">
        <v>0.43862786999999998</v>
      </c>
      <c r="CU80">
        <v>-0.28894487000000002</v>
      </c>
      <c r="CV80">
        <v>-4.8442042999999997E-2</v>
      </c>
      <c r="CW80">
        <v>-0.20163648000000001</v>
      </c>
      <c r="CX80">
        <v>-0.11091382</v>
      </c>
      <c r="CY80">
        <v>0.26720833999999999</v>
      </c>
      <c r="CZ80">
        <v>7.4217826000000001E-2</v>
      </c>
      <c r="DA80">
        <v>0.39677723999999998</v>
      </c>
      <c r="DB80">
        <v>0.41113144000000001</v>
      </c>
      <c r="DC80">
        <v>-1.3661672E-3</v>
      </c>
      <c r="DD80">
        <v>-6.4746200000000004E-2</v>
      </c>
      <c r="DE80">
        <v>-0.44640404</v>
      </c>
      <c r="DF80">
        <v>3.7020385000000003E-2</v>
      </c>
      <c r="DG80">
        <v>0.10867378</v>
      </c>
      <c r="DH80">
        <v>0.20907363000000001</v>
      </c>
      <c r="DI80">
        <v>-0.12564296</v>
      </c>
      <c r="DJ80">
        <v>0.17199257000000001</v>
      </c>
      <c r="DK80">
        <v>-0.116751306</v>
      </c>
      <c r="DL80">
        <v>0.17169496000000001</v>
      </c>
      <c r="DM80">
        <v>6.6002389999999994E-2</v>
      </c>
      <c r="DN80">
        <v>2.0899576999999999E-2</v>
      </c>
      <c r="DO80">
        <v>0.31758955</v>
      </c>
      <c r="DP80">
        <v>0.33560943999999998</v>
      </c>
      <c r="DQ80">
        <v>-8.0338380000000001E-2</v>
      </c>
      <c r="DR80">
        <v>9.0610020000000003E-3</v>
      </c>
      <c r="DS80">
        <v>0.11409726000000001</v>
      </c>
      <c r="DT80">
        <v>-1.8139213000000001E-2</v>
      </c>
      <c r="DU80">
        <v>-5.8631107000000002E-2</v>
      </c>
      <c r="DV80">
        <v>-2.4690647E-2</v>
      </c>
      <c r="DW80">
        <v>0.24383423000000001</v>
      </c>
      <c r="DX80">
        <v>-1.4007993999999999E-2</v>
      </c>
      <c r="DY80">
        <v>0.14720738</v>
      </c>
      <c r="DZ80">
        <v>-0.36927473999999999</v>
      </c>
    </row>
    <row r="81" spans="1:130" x14ac:dyDescent="0.3">
      <c r="A81">
        <f>Board!$G$8</f>
        <v>0</v>
      </c>
      <c r="C81">
        <v>0.14709954</v>
      </c>
      <c r="D81">
        <v>-8.8331856E-2</v>
      </c>
      <c r="E81">
        <v>0.15210599999999999</v>
      </c>
      <c r="F81">
        <v>-1.1108442E-2</v>
      </c>
      <c r="G81">
        <v>-9.0631364999999999E-5</v>
      </c>
      <c r="H81">
        <v>0.30804377999999999</v>
      </c>
      <c r="I81">
        <v>0.17370911999999999</v>
      </c>
      <c r="J81">
        <v>4.4861887000000003E-2</v>
      </c>
      <c r="K81">
        <v>0.23224644</v>
      </c>
      <c r="L81">
        <v>0.45900669999999999</v>
      </c>
      <c r="M81">
        <v>0.12613277000000001</v>
      </c>
      <c r="N81">
        <v>0.13359888</v>
      </c>
      <c r="O81">
        <v>0.10262001</v>
      </c>
      <c r="P81">
        <v>-0.11578969</v>
      </c>
      <c r="Q81">
        <v>0.4369055</v>
      </c>
      <c r="R81">
        <v>0.19575545</v>
      </c>
      <c r="S81">
        <v>0.21930537999999999</v>
      </c>
      <c r="T81">
        <v>7.7612367000000002E-3</v>
      </c>
      <c r="U81">
        <v>-0.22837028000000001</v>
      </c>
      <c r="V81">
        <v>0.10921607</v>
      </c>
      <c r="W81">
        <v>-0.14000704999999999</v>
      </c>
      <c r="X81">
        <v>-6.5991833999999999E-2</v>
      </c>
      <c r="Y81">
        <v>-6.9064780000000006E-2</v>
      </c>
      <c r="Z81">
        <v>-1.8640661999999999E-2</v>
      </c>
      <c r="AA81">
        <v>4.21377E-2</v>
      </c>
      <c r="AB81">
        <v>0.32175857000000002</v>
      </c>
      <c r="AC81">
        <v>0.10902133</v>
      </c>
      <c r="AD81">
        <v>0.13091502999999999</v>
      </c>
      <c r="AE81">
        <v>-1.1564188E-2</v>
      </c>
      <c r="AF81">
        <v>-3.5228200000000001E-2</v>
      </c>
      <c r="AG81">
        <v>-0.12262913</v>
      </c>
      <c r="AH81">
        <v>0.21697828</v>
      </c>
      <c r="AI81">
        <v>1.5914414000000002E-2</v>
      </c>
      <c r="AJ81">
        <v>0.40706033000000003</v>
      </c>
      <c r="AK81">
        <v>1.2605668E-2</v>
      </c>
      <c r="AL81">
        <v>-0.27816126000000002</v>
      </c>
      <c r="AM81">
        <v>-0.22071736</v>
      </c>
      <c r="AN81">
        <v>-4.4760406000000003E-2</v>
      </c>
      <c r="AO81">
        <v>0.39125946</v>
      </c>
      <c r="AP81">
        <v>-0.25274461999999998</v>
      </c>
      <c r="AQ81">
        <v>0.12545724</v>
      </c>
      <c r="AR81">
        <v>-5.8831595E-2</v>
      </c>
      <c r="AS81">
        <v>5.7460558000000002E-2</v>
      </c>
      <c r="AT81">
        <v>0.16050782999999999</v>
      </c>
      <c r="AU81">
        <v>2.0121653E-2</v>
      </c>
      <c r="AV81">
        <v>0.18104734</v>
      </c>
      <c r="AW81">
        <v>-2.6964063E-2</v>
      </c>
      <c r="AX81">
        <v>-4.5682902999999997E-2</v>
      </c>
      <c r="AY81">
        <v>0.10921764</v>
      </c>
      <c r="AZ81">
        <v>-0.16323236999999999</v>
      </c>
      <c r="BA81">
        <v>-8.6984935000000002E-4</v>
      </c>
      <c r="BB81">
        <v>-4.8101940000000003E-2</v>
      </c>
      <c r="BC81">
        <v>0.12132610000000001</v>
      </c>
      <c r="BD81">
        <v>0.28039277000000001</v>
      </c>
      <c r="BE81">
        <v>-8.1480763999999997E-2</v>
      </c>
      <c r="BF81">
        <v>0.40962720000000002</v>
      </c>
      <c r="BG81">
        <v>0.14714902999999999</v>
      </c>
      <c r="BH81">
        <v>0.19955829999999999</v>
      </c>
      <c r="BI81">
        <v>-2.8880596000000001E-2</v>
      </c>
      <c r="BJ81">
        <v>0.10313298999999999</v>
      </c>
      <c r="BK81">
        <v>0.15300046</v>
      </c>
      <c r="BL81">
        <v>0.24670412999999999</v>
      </c>
      <c r="BM81">
        <v>-0.54052924999999996</v>
      </c>
      <c r="BN81">
        <v>-0.10055817</v>
      </c>
      <c r="BO81">
        <v>0.11522671</v>
      </c>
      <c r="BP81">
        <v>0.23484494</v>
      </c>
      <c r="BQ81">
        <v>0.35512719999999998</v>
      </c>
      <c r="BR81">
        <v>5.4712579999999997E-2</v>
      </c>
      <c r="BS81">
        <v>0.10598573999999999</v>
      </c>
      <c r="BT81">
        <v>9.7651119999999994E-2</v>
      </c>
      <c r="BU81">
        <v>9.9320489999999997E-2</v>
      </c>
      <c r="BV81">
        <v>-8.7830885999999997E-2</v>
      </c>
      <c r="BW81">
        <v>0.19571142</v>
      </c>
      <c r="BX81">
        <v>0.29203570000000001</v>
      </c>
      <c r="BY81">
        <v>0.12917154</v>
      </c>
      <c r="BZ81">
        <v>-0.10581193</v>
      </c>
      <c r="CA81">
        <v>0.17011665000000001</v>
      </c>
      <c r="CB81">
        <v>6.8511000000000002E-2</v>
      </c>
      <c r="CC81">
        <v>0.20241550999999999</v>
      </c>
      <c r="CD81">
        <v>0.16617507000000001</v>
      </c>
      <c r="CE81">
        <v>-5.1915905999999996E-3</v>
      </c>
      <c r="CF81">
        <v>-2.2805149E-2</v>
      </c>
      <c r="CG81">
        <v>-0.27055552999999999</v>
      </c>
      <c r="CH81">
        <v>0.12437417000000001</v>
      </c>
      <c r="CI81">
        <v>0.14427449000000001</v>
      </c>
      <c r="CJ81">
        <v>-8.0163464000000004E-2</v>
      </c>
      <c r="CK81">
        <v>-0.14319841999999999</v>
      </c>
      <c r="CL81">
        <v>-0.39074852999999998</v>
      </c>
      <c r="CM81">
        <v>-2.3083421999999999E-2</v>
      </c>
      <c r="CN81">
        <v>-0.45594832000000002</v>
      </c>
      <c r="CO81">
        <v>0.19870192</v>
      </c>
      <c r="CP81">
        <v>-0.19557197000000001</v>
      </c>
      <c r="CQ81">
        <v>7.5379290000000002E-2</v>
      </c>
      <c r="CR81">
        <v>0.22057109</v>
      </c>
      <c r="CS81">
        <v>-0.19515778</v>
      </c>
      <c r="CT81">
        <v>0.35919845</v>
      </c>
      <c r="CU81">
        <v>-0.10317044</v>
      </c>
      <c r="CV81">
        <v>-5.8780196000000002E-3</v>
      </c>
      <c r="CW81">
        <v>0.1683566</v>
      </c>
      <c r="CX81">
        <v>-7.8529454999999998E-2</v>
      </c>
      <c r="CY81">
        <v>0.18531127</v>
      </c>
      <c r="CZ81">
        <v>5.1033687000000001E-2</v>
      </c>
      <c r="DA81">
        <v>-5.4434626999999999E-2</v>
      </c>
      <c r="DB81">
        <v>0.31081507000000003</v>
      </c>
      <c r="DC81">
        <v>-6.7030859999999998E-2</v>
      </c>
      <c r="DD81">
        <v>0.20485601000000001</v>
      </c>
      <c r="DE81">
        <v>-0.26835303999999999</v>
      </c>
      <c r="DF81">
        <v>-0.40670305000000001</v>
      </c>
      <c r="DG81">
        <v>-1.1852148E-2</v>
      </c>
      <c r="DH81">
        <v>0.37751377000000003</v>
      </c>
      <c r="DI81">
        <v>-5.391636E-3</v>
      </c>
      <c r="DJ81">
        <v>-0.30541604999999999</v>
      </c>
      <c r="DK81">
        <v>-0.11199284</v>
      </c>
      <c r="DL81">
        <v>0.11022273</v>
      </c>
      <c r="DM81">
        <v>0.18392765999999999</v>
      </c>
      <c r="DN81">
        <v>7.6081289999999996E-2</v>
      </c>
      <c r="DO81">
        <v>0.15343842999999999</v>
      </c>
      <c r="DP81">
        <v>0.19931090000000001</v>
      </c>
      <c r="DQ81">
        <v>-3.5956472000000003E-2</v>
      </c>
      <c r="DR81">
        <v>-4.1519010000000002E-2</v>
      </c>
      <c r="DS81">
        <v>-5.022414E-2</v>
      </c>
      <c r="DT81">
        <v>0.18107049</v>
      </c>
      <c r="DU81">
        <v>0.27290225000000001</v>
      </c>
      <c r="DV81">
        <v>-7.5114719999999996E-2</v>
      </c>
      <c r="DW81">
        <v>-0.15629135</v>
      </c>
      <c r="DX81">
        <v>4.464336E-2</v>
      </c>
      <c r="DY81">
        <v>-0.57249296000000005</v>
      </c>
      <c r="DZ81">
        <v>-0.39783210000000002</v>
      </c>
    </row>
    <row r="82" spans="1:130" x14ac:dyDescent="0.3">
      <c r="A82">
        <f>Board!$H$8</f>
        <v>1</v>
      </c>
      <c r="C82">
        <v>-0.25992739999999998</v>
      </c>
      <c r="D82">
        <v>-7.4549710000000003E-3</v>
      </c>
      <c r="E82">
        <v>0.13733213999999999</v>
      </c>
      <c r="F82">
        <v>4.4874560000000001E-2</v>
      </c>
      <c r="G82">
        <v>-0.19717227000000001</v>
      </c>
      <c r="H82">
        <v>-0.23520121999999999</v>
      </c>
      <c r="I82">
        <v>-0.38128193999999999</v>
      </c>
      <c r="J82">
        <v>-8.8647954000000001E-2</v>
      </c>
      <c r="K82">
        <v>0.16592076</v>
      </c>
      <c r="L82">
        <v>0.2057368</v>
      </c>
      <c r="M82">
        <v>5.3424715999999997E-2</v>
      </c>
      <c r="N82">
        <v>-0.10414331</v>
      </c>
      <c r="O82">
        <v>0.28812808000000001</v>
      </c>
      <c r="P82">
        <v>-6.7071690000000003E-2</v>
      </c>
      <c r="Q82">
        <v>0.17621999999999999</v>
      </c>
      <c r="R82">
        <v>8.0552496000000001E-2</v>
      </c>
      <c r="S82">
        <v>-1.101308E-2</v>
      </c>
      <c r="T82">
        <v>7.5294910000000007E-2</v>
      </c>
      <c r="U82">
        <v>7.5044200000000005E-2</v>
      </c>
      <c r="V82">
        <v>-6.9108649999999994E-2</v>
      </c>
      <c r="W82">
        <v>-1.9192557999999998E-2</v>
      </c>
      <c r="X82">
        <v>1.216369E-2</v>
      </c>
      <c r="Y82">
        <v>1.3771508E-2</v>
      </c>
      <c r="Z82">
        <v>-0.13088188000000001</v>
      </c>
      <c r="AA82">
        <v>-2.7812941000000001E-2</v>
      </c>
      <c r="AB82">
        <v>0.39191740000000003</v>
      </c>
      <c r="AC82">
        <v>1.1024664E-2</v>
      </c>
      <c r="AD82">
        <v>0.14066574000000001</v>
      </c>
      <c r="AE82">
        <v>-0.12102804</v>
      </c>
      <c r="AF82">
        <v>3.1289632999999997E-2</v>
      </c>
      <c r="AG82">
        <v>-3.0249516000000001E-2</v>
      </c>
      <c r="AH82">
        <v>0.16284429</v>
      </c>
      <c r="AI82">
        <v>7.5515024E-2</v>
      </c>
      <c r="AJ82">
        <v>0.28069793999999998</v>
      </c>
      <c r="AK82">
        <v>-0.34112626000000001</v>
      </c>
      <c r="AL82">
        <v>0.32278815</v>
      </c>
      <c r="AM82">
        <v>-0.10456462</v>
      </c>
      <c r="AN82">
        <v>9.7464270000000006E-2</v>
      </c>
      <c r="AO82">
        <v>0.33226382999999998</v>
      </c>
      <c r="AP82">
        <v>-0.30058652000000002</v>
      </c>
      <c r="AQ82">
        <v>-0.33688319999999999</v>
      </c>
      <c r="AR82">
        <v>0.13309844000000001</v>
      </c>
      <c r="AS82">
        <v>-7.2037563999999997E-3</v>
      </c>
      <c r="AT82">
        <v>-5.4520786000000002E-2</v>
      </c>
      <c r="AU82">
        <v>0.10693181</v>
      </c>
      <c r="AV82">
        <v>0.21355743999999999</v>
      </c>
      <c r="AW82">
        <v>0.19449486999999999</v>
      </c>
      <c r="AX82">
        <v>-0.15404838000000001</v>
      </c>
      <c r="AY82">
        <v>0.13191831000000001</v>
      </c>
      <c r="AZ82">
        <v>-0.2645129</v>
      </c>
      <c r="BA82">
        <v>-2.9785404000000001E-2</v>
      </c>
      <c r="BB82">
        <v>-0.16417249</v>
      </c>
      <c r="BC82">
        <v>-0.23035633999999999</v>
      </c>
      <c r="BD82">
        <v>-0.16173926</v>
      </c>
      <c r="BE82">
        <v>9.1118320000000003E-2</v>
      </c>
      <c r="BF82">
        <v>0.2647468</v>
      </c>
      <c r="BG82">
        <v>0.12995534</v>
      </c>
      <c r="BH82">
        <v>0.41124663</v>
      </c>
      <c r="BI82">
        <v>1.8804370000000001E-2</v>
      </c>
      <c r="BJ82">
        <v>0.23211971000000001</v>
      </c>
      <c r="BK82">
        <v>6.0609049999999998E-2</v>
      </c>
      <c r="BL82">
        <v>0.23367848999999999</v>
      </c>
      <c r="BM82">
        <v>-0.51892114</v>
      </c>
      <c r="BN82">
        <v>0.22979163</v>
      </c>
      <c r="BO82">
        <v>0.17156415</v>
      </c>
      <c r="BP82">
        <v>6.5947110000000003E-2</v>
      </c>
      <c r="BQ82">
        <v>0.23071903999999999</v>
      </c>
      <c r="BR82">
        <v>-0.18323745</v>
      </c>
      <c r="BS82">
        <v>-4.3674237999999997E-2</v>
      </c>
      <c r="BT82">
        <v>-0.25337994000000003</v>
      </c>
      <c r="BU82">
        <v>0.17939115999999999</v>
      </c>
      <c r="BV82">
        <v>-0.23072653000000001</v>
      </c>
      <c r="BW82">
        <v>-0.11368871</v>
      </c>
      <c r="BX82">
        <v>0.2161505</v>
      </c>
      <c r="BY82">
        <v>0.12787309999999999</v>
      </c>
      <c r="BZ82">
        <v>-3.1510677000000001E-2</v>
      </c>
      <c r="CA82">
        <v>0.20003128000000001</v>
      </c>
      <c r="CB82">
        <v>0.28632337000000002</v>
      </c>
      <c r="CC82">
        <v>0.12551221000000001</v>
      </c>
      <c r="CD82">
        <v>0.20150612000000001</v>
      </c>
      <c r="CE82">
        <v>0.13349621</v>
      </c>
      <c r="CF82">
        <v>0.41342220000000002</v>
      </c>
      <c r="CG82">
        <v>-9.5305589999999996E-2</v>
      </c>
      <c r="CH82">
        <v>5.1721631999999997E-2</v>
      </c>
      <c r="CI82">
        <v>0.31419320000000001</v>
      </c>
      <c r="CJ82">
        <v>-1.9449682999999999E-2</v>
      </c>
      <c r="CK82">
        <v>-0.1573783</v>
      </c>
      <c r="CL82">
        <v>-0.31390523999999997</v>
      </c>
      <c r="CM82">
        <v>0.12892105000000001</v>
      </c>
      <c r="CN82">
        <v>-0.11028441999999999</v>
      </c>
      <c r="CO82">
        <v>0.21343219999999999</v>
      </c>
      <c r="CP82">
        <v>-3.6451369999999997E-2</v>
      </c>
      <c r="CQ82">
        <v>-0.18879433000000001</v>
      </c>
      <c r="CR82">
        <v>2.6196892999999998E-3</v>
      </c>
      <c r="CS82">
        <v>-1.2362870999999999E-2</v>
      </c>
      <c r="CT82">
        <v>5.7469386999999997E-2</v>
      </c>
      <c r="CU82">
        <v>0.21491863999999999</v>
      </c>
      <c r="CV82">
        <v>3.4662955000000002E-2</v>
      </c>
      <c r="CW82">
        <v>0.39507367999999998</v>
      </c>
      <c r="CX82">
        <v>0.111179926</v>
      </c>
      <c r="CY82">
        <v>2.2287873999999999E-2</v>
      </c>
      <c r="CZ82">
        <v>0.33297666999999997</v>
      </c>
      <c r="DA82">
        <v>-1.1944433E-4</v>
      </c>
      <c r="DB82">
        <v>8.896416E-2</v>
      </c>
      <c r="DC82">
        <v>0.17685714</v>
      </c>
      <c r="DD82">
        <v>2.6921416E-2</v>
      </c>
      <c r="DE82">
        <v>-0.13252438999999999</v>
      </c>
      <c r="DF82">
        <v>-0.24183784</v>
      </c>
      <c r="DG82">
        <v>0.29085453999999999</v>
      </c>
      <c r="DH82">
        <v>3.1919092000000003E-2</v>
      </c>
      <c r="DI82">
        <v>-0.36165258</v>
      </c>
      <c r="DJ82">
        <v>-0.41087040000000002</v>
      </c>
      <c r="DK82">
        <v>-0.18266879</v>
      </c>
      <c r="DL82">
        <v>-3.3955585000000003E-2</v>
      </c>
      <c r="DM82">
        <v>0.13943742000000001</v>
      </c>
      <c r="DN82">
        <v>-6.4119290000000002E-3</v>
      </c>
      <c r="DO82">
        <v>0.30615369999999997</v>
      </c>
      <c r="DP82">
        <v>-4.3256335E-2</v>
      </c>
      <c r="DQ82">
        <v>-0.14831612999999999</v>
      </c>
      <c r="DR82">
        <v>2.1303229E-2</v>
      </c>
      <c r="DS82">
        <v>-0.16352142</v>
      </c>
      <c r="DT82">
        <v>-2.2497565000000001E-2</v>
      </c>
      <c r="DU82">
        <v>0.12767439</v>
      </c>
      <c r="DV82">
        <v>0.13727918</v>
      </c>
      <c r="DW82">
        <v>0.11674851</v>
      </c>
      <c r="DX82">
        <v>0.13031941999999999</v>
      </c>
      <c r="DY82">
        <v>-0.13255016999999999</v>
      </c>
      <c r="DZ82">
        <v>-7.6827586000000003E-2</v>
      </c>
    </row>
    <row r="83" spans="1:130" x14ac:dyDescent="0.3">
      <c r="A83">
        <f>Board!$I$8</f>
        <v>0</v>
      </c>
      <c r="C83">
        <v>7.0238604999999996E-2</v>
      </c>
      <c r="D83">
        <v>-0.20969513000000001</v>
      </c>
      <c r="E83">
        <v>9.5092110000000001E-3</v>
      </c>
      <c r="F83">
        <v>4.9957555000000001E-2</v>
      </c>
      <c r="G83">
        <v>-8.7423089999999995E-2</v>
      </c>
      <c r="H83">
        <v>-3.0682474000000001E-2</v>
      </c>
      <c r="I83">
        <v>-1.3171101E-4</v>
      </c>
      <c r="J83">
        <v>-0.20570279999999999</v>
      </c>
      <c r="K83">
        <v>-0.1715961</v>
      </c>
      <c r="L83">
        <v>4.5381945E-2</v>
      </c>
      <c r="M83">
        <v>3.2817774000000001E-2</v>
      </c>
      <c r="N83">
        <v>0.17494013999999999</v>
      </c>
      <c r="O83">
        <v>3.6016147999999998E-2</v>
      </c>
      <c r="P83">
        <v>0.18187204000000001</v>
      </c>
      <c r="Q83">
        <v>-5.2170300000000003E-2</v>
      </c>
      <c r="R83">
        <v>-0.12193246000000001</v>
      </c>
      <c r="S83">
        <v>0.12055919</v>
      </c>
      <c r="T83">
        <v>0.17563142000000001</v>
      </c>
      <c r="U83">
        <v>-0.11500876</v>
      </c>
      <c r="V83">
        <v>0.39515874000000001</v>
      </c>
      <c r="W83">
        <v>-0.10259596999999999</v>
      </c>
      <c r="X83">
        <v>0.12338874</v>
      </c>
      <c r="Y83">
        <v>-9.4051360000000001E-2</v>
      </c>
      <c r="Z83">
        <v>3.1412862E-2</v>
      </c>
      <c r="AA83">
        <v>5.7083160000000001E-2</v>
      </c>
      <c r="AB83">
        <v>0.18192802</v>
      </c>
      <c r="AC83">
        <v>-8.197314E-2</v>
      </c>
      <c r="AD83">
        <v>-9.9949270000000007E-2</v>
      </c>
      <c r="AE83">
        <v>-0.15488484999999999</v>
      </c>
      <c r="AF83">
        <v>-0.11538895</v>
      </c>
      <c r="AG83">
        <v>0.19777686999999999</v>
      </c>
      <c r="AH83">
        <v>6.7454482999999995E-4</v>
      </c>
      <c r="AI83">
        <v>6.4695470000000005E-2</v>
      </c>
      <c r="AJ83">
        <v>4.7248221999999999E-2</v>
      </c>
      <c r="AK83">
        <v>-3.0456929000000001E-2</v>
      </c>
      <c r="AL83">
        <v>0.28609182999999999</v>
      </c>
      <c r="AM83">
        <v>-6.6392402999999999E-3</v>
      </c>
      <c r="AN83">
        <v>0.11270380000000001</v>
      </c>
      <c r="AO83">
        <v>3.6681246000000001E-2</v>
      </c>
      <c r="AP83">
        <v>-5.2716422999999998E-2</v>
      </c>
      <c r="AQ83">
        <v>-0.12990087</v>
      </c>
      <c r="AR83">
        <v>-0.26401439999999998</v>
      </c>
      <c r="AS83">
        <v>-0.14912945</v>
      </c>
      <c r="AT83">
        <v>-5.8881596000000001E-2</v>
      </c>
      <c r="AU83">
        <v>-0.27484396</v>
      </c>
      <c r="AV83">
        <v>2.5144739999999999E-2</v>
      </c>
      <c r="AW83">
        <v>0.19715290999999999</v>
      </c>
      <c r="AX83">
        <v>-6.7715490000000003E-2</v>
      </c>
      <c r="AY83">
        <v>-8.9287630000000007E-2</v>
      </c>
      <c r="AZ83">
        <v>0.19788939</v>
      </c>
      <c r="BA83">
        <v>-6.4005660000000006E-2</v>
      </c>
      <c r="BB83">
        <v>-9.0574669999999996E-2</v>
      </c>
      <c r="BC83">
        <v>-1.7149801999999999E-2</v>
      </c>
      <c r="BD83">
        <v>-0.22592867999999999</v>
      </c>
      <c r="BE83">
        <v>-3.2022386999999999E-2</v>
      </c>
      <c r="BF83">
        <v>-0.17489924000000001</v>
      </c>
      <c r="BG83">
        <v>0.36605963000000002</v>
      </c>
      <c r="BH83">
        <v>8.2575924999999994E-2</v>
      </c>
      <c r="BI83">
        <v>-0.25289064999999999</v>
      </c>
      <c r="BJ83">
        <v>0.3744343</v>
      </c>
      <c r="BK83">
        <v>0.10079683</v>
      </c>
      <c r="BL83">
        <v>0.22905405000000001</v>
      </c>
      <c r="BM83">
        <v>-5.8159016000000001E-2</v>
      </c>
      <c r="BN83">
        <v>-7.8837389999999993E-2</v>
      </c>
      <c r="BO83">
        <v>0.18494552</v>
      </c>
      <c r="BP83">
        <v>0.18039912</v>
      </c>
      <c r="BQ83">
        <v>6.1117996000000001E-2</v>
      </c>
      <c r="BR83">
        <v>-0.21949940000000001</v>
      </c>
      <c r="BS83">
        <v>8.6315549999999995E-4</v>
      </c>
      <c r="BT83">
        <v>-8.4922890000000001E-2</v>
      </c>
      <c r="BU83">
        <v>-4.0226119999999997E-2</v>
      </c>
      <c r="BV83">
        <v>0.19181517000000001</v>
      </c>
      <c r="BW83">
        <v>2.674673E-2</v>
      </c>
      <c r="BX83">
        <v>-5.8798301999999997E-2</v>
      </c>
      <c r="BY83">
        <v>0.27374714999999999</v>
      </c>
      <c r="BZ83">
        <v>-0.12098937999999999</v>
      </c>
      <c r="CA83">
        <v>-3.6437709999999998E-2</v>
      </c>
      <c r="CB83">
        <v>-3.4172840000000003E-2</v>
      </c>
      <c r="CC83">
        <v>0.25330989999999998</v>
      </c>
      <c r="CD83">
        <v>-6.402302E-2</v>
      </c>
      <c r="CE83">
        <v>0.28858504000000001</v>
      </c>
      <c r="CF83">
        <v>0.17040554999999999</v>
      </c>
      <c r="CG83">
        <v>-3.6095055E-3</v>
      </c>
      <c r="CH83">
        <v>6.4669980000000002E-2</v>
      </c>
      <c r="CI83">
        <v>8.7244829999999999E-3</v>
      </c>
      <c r="CJ83">
        <v>-0.18641522999999999</v>
      </c>
      <c r="CK83">
        <v>4.2167655999999998E-2</v>
      </c>
      <c r="CL83">
        <v>-8.930072E-2</v>
      </c>
      <c r="CM83">
        <v>4.0582404000000002E-2</v>
      </c>
      <c r="CN83">
        <v>-0.22970223000000001</v>
      </c>
      <c r="CO83">
        <v>0.11208700000000001</v>
      </c>
      <c r="CP83">
        <v>0.11656783</v>
      </c>
      <c r="CQ83">
        <v>-0.12524466000000001</v>
      </c>
      <c r="CR83">
        <v>-0.21956133999999999</v>
      </c>
      <c r="CS83">
        <v>7.6333659999999998E-2</v>
      </c>
      <c r="CT83">
        <v>0.15732177</v>
      </c>
      <c r="CU83">
        <v>-7.6739089999999996E-2</v>
      </c>
      <c r="CV83">
        <v>4.4060413E-2</v>
      </c>
      <c r="CW83">
        <v>9.3633464999999999E-2</v>
      </c>
      <c r="CX83">
        <v>0.22859889999999999</v>
      </c>
      <c r="CY83">
        <v>0.11047801</v>
      </c>
      <c r="CZ83">
        <v>-5.3774576999999997E-2</v>
      </c>
      <c r="DA83">
        <v>0.15311027999999999</v>
      </c>
      <c r="DB83">
        <v>6.7740469999999997E-2</v>
      </c>
      <c r="DC83">
        <v>-0.15311041</v>
      </c>
      <c r="DD83">
        <v>-9.6466979999999994E-2</v>
      </c>
      <c r="DE83">
        <v>9.5302220000000007E-2</v>
      </c>
      <c r="DF83">
        <v>-0.21400400999999999</v>
      </c>
      <c r="DG83">
        <v>-0.12574679</v>
      </c>
      <c r="DH83">
        <v>-0.15372374999999999</v>
      </c>
      <c r="DI83">
        <v>-0.218892</v>
      </c>
      <c r="DJ83">
        <v>-0.1504364</v>
      </c>
      <c r="DK83">
        <v>4.2445660000000003E-2</v>
      </c>
      <c r="DL83">
        <v>0.20069110000000001</v>
      </c>
      <c r="DM83">
        <v>-0.17747569999999999</v>
      </c>
      <c r="DN83">
        <v>-0.26256457</v>
      </c>
      <c r="DO83">
        <v>0.24088977</v>
      </c>
      <c r="DP83">
        <v>0.10579011000000001</v>
      </c>
      <c r="DQ83">
        <v>-0.12215110999999999</v>
      </c>
      <c r="DR83">
        <v>0.18507931999999999</v>
      </c>
      <c r="DS83">
        <v>7.5950530000000002E-2</v>
      </c>
      <c r="DT83">
        <v>-0.29697829999999997</v>
      </c>
      <c r="DU83">
        <v>-0.22160979</v>
      </c>
      <c r="DV83">
        <v>0.13971838</v>
      </c>
      <c r="DW83">
        <v>0.16869492999999999</v>
      </c>
      <c r="DX83">
        <v>-7.2816519999999996E-2</v>
      </c>
      <c r="DY83">
        <v>-6.8135979999999999E-2</v>
      </c>
      <c r="DZ83">
        <v>-0.102245145</v>
      </c>
    </row>
    <row r="84" spans="1:130" x14ac:dyDescent="0.3">
      <c r="A84">
        <f>Board!$J$8</f>
        <v>0</v>
      </c>
      <c r="C84">
        <v>-1.3983913000000001E-2</v>
      </c>
      <c r="D84">
        <v>-0.31802114999999997</v>
      </c>
      <c r="E84">
        <v>-0.24997108000000001</v>
      </c>
      <c r="F84">
        <v>-2.6679417E-2</v>
      </c>
      <c r="G84">
        <v>-8.3803429999999998E-2</v>
      </c>
      <c r="H84">
        <v>-0.1038004</v>
      </c>
      <c r="I84">
        <v>0.18047500999999999</v>
      </c>
      <c r="J84">
        <v>-0.20563149999999999</v>
      </c>
      <c r="K84">
        <v>-7.9684235000000006E-2</v>
      </c>
      <c r="L84">
        <v>-4.578434E-2</v>
      </c>
      <c r="M84">
        <v>4.0270574000000003E-2</v>
      </c>
      <c r="N84">
        <v>2.0222716000000002E-2</v>
      </c>
      <c r="O84">
        <v>-2.1781491E-2</v>
      </c>
      <c r="P84">
        <v>0.16807433999999999</v>
      </c>
      <c r="Q84">
        <v>0.11482257999999999</v>
      </c>
      <c r="R84">
        <v>-8.902353E-3</v>
      </c>
      <c r="S84">
        <v>8.5682965999999999E-2</v>
      </c>
      <c r="T84">
        <v>6.3085340000000004E-2</v>
      </c>
      <c r="U84">
        <v>7.0188039999999993E-2</v>
      </c>
      <c r="V84">
        <v>0.13025310000000001</v>
      </c>
      <c r="W84">
        <v>-9.3704689999999993E-2</v>
      </c>
      <c r="X84">
        <v>0.16579816</v>
      </c>
      <c r="Y84">
        <v>-5.6233466000000003E-2</v>
      </c>
      <c r="Z84">
        <v>-4.0313922000000002E-2</v>
      </c>
      <c r="AA84">
        <v>4.3365250000000001E-2</v>
      </c>
      <c r="AB84">
        <v>0.24416347999999999</v>
      </c>
      <c r="AC84">
        <v>2.7403482999999999E-2</v>
      </c>
      <c r="AD84">
        <v>-0.20880102</v>
      </c>
      <c r="AE84">
        <v>-0.10970889</v>
      </c>
      <c r="AF84">
        <v>-1.4044680999999999E-3</v>
      </c>
      <c r="AG84">
        <v>0.19771986</v>
      </c>
      <c r="AH84">
        <v>1.6006360000000001E-2</v>
      </c>
      <c r="AI84">
        <v>0.14421906000000001</v>
      </c>
      <c r="AJ84">
        <v>-0.23545577000000001</v>
      </c>
      <c r="AK84">
        <v>0.21391724000000001</v>
      </c>
      <c r="AL84">
        <v>0.29391655</v>
      </c>
      <c r="AM84">
        <v>5.3711854000000003E-2</v>
      </c>
      <c r="AN84">
        <v>0.19566068</v>
      </c>
      <c r="AO84">
        <v>0.11284706999999999</v>
      </c>
      <c r="AP84">
        <v>3.2414159999999997E-2</v>
      </c>
      <c r="AQ84">
        <v>-0.35368129999999998</v>
      </c>
      <c r="AR84">
        <v>-0.42108253000000001</v>
      </c>
      <c r="AS84">
        <v>-0.15536728999999999</v>
      </c>
      <c r="AT84">
        <v>-0.13244449999999999</v>
      </c>
      <c r="AU84">
        <v>-2.1970320000000002E-2</v>
      </c>
      <c r="AV84">
        <v>-0.22171655000000001</v>
      </c>
      <c r="AW84">
        <v>-0.11592572</v>
      </c>
      <c r="AX84">
        <v>-0.17252833000000001</v>
      </c>
      <c r="AY84">
        <v>-6.9374405E-2</v>
      </c>
      <c r="AZ84">
        <v>0.13889292</v>
      </c>
      <c r="BA84">
        <v>-0.24235564000000001</v>
      </c>
      <c r="BB84">
        <v>-2.4987434999999999E-2</v>
      </c>
      <c r="BC84">
        <v>3.8761604999999998E-2</v>
      </c>
      <c r="BD84">
        <v>-0.13127036</v>
      </c>
      <c r="BE84">
        <v>-6.1438129999999997E-3</v>
      </c>
      <c r="BF84">
        <v>-0.45334205</v>
      </c>
      <c r="BG84">
        <v>0.36271098000000002</v>
      </c>
      <c r="BH84">
        <v>0.11030783500000001</v>
      </c>
      <c r="BI84">
        <v>-0.23515195</v>
      </c>
      <c r="BJ84">
        <v>-0.35159363999999999</v>
      </c>
      <c r="BK84">
        <v>5.1752425999999997E-2</v>
      </c>
      <c r="BL84">
        <v>0.14473632</v>
      </c>
      <c r="BM84">
        <v>-7.4260259999999995E-2</v>
      </c>
      <c r="BN84">
        <v>0.13950203</v>
      </c>
      <c r="BO84">
        <v>0.20593276999999999</v>
      </c>
      <c r="BP84">
        <v>0.25058143999999999</v>
      </c>
      <c r="BQ84">
        <v>0.22505891</v>
      </c>
      <c r="BR84">
        <v>-0.10996234000000001</v>
      </c>
      <c r="BS84">
        <v>0.14239441</v>
      </c>
      <c r="BT84">
        <v>-5.7414442000000003E-2</v>
      </c>
      <c r="BU84">
        <v>-8.9730710000000005E-2</v>
      </c>
      <c r="BV84">
        <v>0.28903633000000001</v>
      </c>
      <c r="BW84">
        <v>0.26149482000000002</v>
      </c>
      <c r="BX84">
        <v>-0.3410648</v>
      </c>
      <c r="BY84">
        <v>0.118233606</v>
      </c>
      <c r="BZ84">
        <v>-0.33344426999999999</v>
      </c>
      <c r="CA84">
        <v>-0.28139550000000002</v>
      </c>
      <c r="CB84">
        <v>4.4758733000000002E-2</v>
      </c>
      <c r="CC84">
        <v>1.7843201999999999E-2</v>
      </c>
      <c r="CD84">
        <v>0.14727472</v>
      </c>
      <c r="CE84">
        <v>9.1422885999999995E-2</v>
      </c>
      <c r="CF84">
        <v>0.24351788999999999</v>
      </c>
      <c r="CG84">
        <v>-3.9453549999999997E-2</v>
      </c>
      <c r="CH84">
        <v>8.3378670000000002E-2</v>
      </c>
      <c r="CI84">
        <v>-1.6476449000000001E-2</v>
      </c>
      <c r="CJ84">
        <v>-0.25274940000000001</v>
      </c>
      <c r="CK84">
        <v>4.2216985999999998E-2</v>
      </c>
      <c r="CL84">
        <v>0.18653241000000001</v>
      </c>
      <c r="CM84">
        <v>-0.13532644999999999</v>
      </c>
      <c r="CN84">
        <v>-0.25640476000000001</v>
      </c>
      <c r="CO84">
        <v>-0.12846750000000001</v>
      </c>
      <c r="CP84">
        <v>8.0442749999999993E-2</v>
      </c>
      <c r="CQ84">
        <v>0.33203094999999999</v>
      </c>
      <c r="CR84">
        <v>-0.40829939999999998</v>
      </c>
      <c r="CS84">
        <v>5.1372208000000003E-2</v>
      </c>
      <c r="CT84">
        <v>4.6464875000000003E-2</v>
      </c>
      <c r="CU84">
        <v>2.6646974E-2</v>
      </c>
      <c r="CV84">
        <v>-7.0236279999999998E-2</v>
      </c>
      <c r="CW84">
        <v>-0.23235025000000001</v>
      </c>
      <c r="CX84">
        <v>2.4486989000000001E-2</v>
      </c>
      <c r="CY84">
        <v>-2.9814721999999998E-2</v>
      </c>
      <c r="CZ84">
        <v>-0.17058777999999999</v>
      </c>
      <c r="DA84">
        <v>4.8640339999999997E-2</v>
      </c>
      <c r="DB84">
        <v>0.13695194999999999</v>
      </c>
      <c r="DC84">
        <v>-0.26135923999999999</v>
      </c>
      <c r="DD84">
        <v>-1.0655385999999999E-2</v>
      </c>
      <c r="DE84">
        <v>0.15630947000000001</v>
      </c>
      <c r="DF84">
        <v>-9.6247230000000003E-2</v>
      </c>
      <c r="DG84">
        <v>-0.15004686</v>
      </c>
      <c r="DH84">
        <v>-7.6816640000000005E-2</v>
      </c>
      <c r="DI84">
        <v>0.11281181999999999</v>
      </c>
      <c r="DJ84">
        <v>7.2767070000000003E-2</v>
      </c>
      <c r="DK84">
        <v>2.5214068999999999E-2</v>
      </c>
      <c r="DL84">
        <v>0.10859632</v>
      </c>
      <c r="DM84">
        <v>-0.13427591</v>
      </c>
      <c r="DN84">
        <v>-0.37813592000000001</v>
      </c>
      <c r="DO84">
        <v>4.9853474000000002E-2</v>
      </c>
      <c r="DP84">
        <v>0.1064064</v>
      </c>
      <c r="DQ84">
        <v>-3.4895229999999999E-2</v>
      </c>
      <c r="DR84">
        <v>-0.10312913</v>
      </c>
      <c r="DS84">
        <v>-0.17849942999999999</v>
      </c>
      <c r="DT84">
        <v>-0.23128460000000001</v>
      </c>
      <c r="DU84">
        <v>-0.10515222</v>
      </c>
      <c r="DV84">
        <v>-0.21710852</v>
      </c>
      <c r="DW84">
        <v>0.24147626999999999</v>
      </c>
      <c r="DX84">
        <v>-1.7708806000000001E-2</v>
      </c>
      <c r="DY84">
        <v>-7.5305220000000006E-2</v>
      </c>
      <c r="DZ84">
        <v>-3.6860799999999999E-2</v>
      </c>
    </row>
    <row r="85" spans="1:130" x14ac:dyDescent="0.3">
      <c r="A85">
        <f>Board!$K$8</f>
        <v>0</v>
      </c>
      <c r="C85">
        <v>-9.9092509999999995E-2</v>
      </c>
      <c r="D85">
        <v>-0.12017920999999999</v>
      </c>
      <c r="E85">
        <v>-0.16595370000000001</v>
      </c>
      <c r="F85">
        <v>-5.2345893999999997E-2</v>
      </c>
      <c r="G85">
        <v>-4.6904672000000001E-2</v>
      </c>
      <c r="H85">
        <v>5.345577E-2</v>
      </c>
      <c r="I85">
        <v>0.10458594</v>
      </c>
      <c r="J85">
        <v>-3.4970308000000002E-3</v>
      </c>
      <c r="K85">
        <v>-2.4609094000000001E-2</v>
      </c>
      <c r="L85">
        <v>-0.18985368</v>
      </c>
      <c r="M85">
        <v>-0.19357182000000001</v>
      </c>
      <c r="N85">
        <v>-0.12850048</v>
      </c>
      <c r="O85">
        <v>0.14521566</v>
      </c>
      <c r="P85">
        <v>5.1911930000000002E-2</v>
      </c>
      <c r="Q85">
        <v>0.11930321000000001</v>
      </c>
      <c r="R85">
        <v>0.12830664</v>
      </c>
      <c r="S85">
        <v>-9.1315075999999995E-2</v>
      </c>
      <c r="T85">
        <v>6.2283023999999999E-2</v>
      </c>
      <c r="U85">
        <v>4.2767779999999998E-2</v>
      </c>
      <c r="V85">
        <v>5.2427109999999999E-2</v>
      </c>
      <c r="W85">
        <v>-0.20432612</v>
      </c>
      <c r="X85">
        <v>-8.5567379999999998E-2</v>
      </c>
      <c r="Y85">
        <v>0.12947732000000001</v>
      </c>
      <c r="Z85">
        <v>-0.12113682000000001</v>
      </c>
      <c r="AA85">
        <v>0.10915067000000001</v>
      </c>
      <c r="AB85">
        <v>-4.9544475999999997E-2</v>
      </c>
      <c r="AC85">
        <v>0.1232482</v>
      </c>
      <c r="AD85">
        <v>-0.19674636000000001</v>
      </c>
      <c r="AE85">
        <v>-0.23972236</v>
      </c>
      <c r="AF85">
        <v>-0.42312935000000002</v>
      </c>
      <c r="AG85">
        <v>0.29828060000000001</v>
      </c>
      <c r="AH85">
        <v>0.12157293</v>
      </c>
      <c r="AI85">
        <v>-0.112521276</v>
      </c>
      <c r="AJ85">
        <v>0.10990219</v>
      </c>
      <c r="AK85">
        <v>0.24752419000000001</v>
      </c>
      <c r="AL85">
        <v>0.24321905999999999</v>
      </c>
      <c r="AM85">
        <v>0.15459687</v>
      </c>
      <c r="AN85">
        <v>0.24216102</v>
      </c>
      <c r="AO85">
        <v>9.2604086000000002E-2</v>
      </c>
      <c r="AP85">
        <v>0.16481209999999999</v>
      </c>
      <c r="AQ85">
        <v>-0.34199499999999999</v>
      </c>
      <c r="AR85">
        <v>-0.42664609999999997</v>
      </c>
      <c r="AS85">
        <v>-0.19726995999999999</v>
      </c>
      <c r="AT85">
        <v>-5.3768459999999997E-2</v>
      </c>
      <c r="AU85">
        <v>-5.6078777000000003E-2</v>
      </c>
      <c r="AV85">
        <v>-0.28971039999999998</v>
      </c>
      <c r="AW85">
        <v>0.23814442999999999</v>
      </c>
      <c r="AX85">
        <v>-0.31611001</v>
      </c>
      <c r="AY85">
        <v>-0.37396747000000002</v>
      </c>
      <c r="AZ85">
        <v>0.11496692</v>
      </c>
      <c r="BA85">
        <v>-0.19880484000000001</v>
      </c>
      <c r="BB85">
        <v>-0.23201135000000001</v>
      </c>
      <c r="BC85">
        <v>0.11371207</v>
      </c>
      <c r="BD85">
        <v>-2.2499278000000001E-2</v>
      </c>
      <c r="BE85">
        <v>0.1829982</v>
      </c>
      <c r="BF85">
        <v>-0.44459452999999999</v>
      </c>
      <c r="BG85">
        <v>8.1376749999999998E-2</v>
      </c>
      <c r="BH85">
        <v>-0.10210129599999999</v>
      </c>
      <c r="BI85">
        <v>-0.10959703</v>
      </c>
      <c r="BJ85">
        <v>-0.18137281999999999</v>
      </c>
      <c r="BK85">
        <v>-5.5383790000000002E-2</v>
      </c>
      <c r="BL85">
        <v>-3.0665834999999999E-2</v>
      </c>
      <c r="BM85">
        <v>-4.2595979999999999E-2</v>
      </c>
      <c r="BN85">
        <v>0.32079489999999999</v>
      </c>
      <c r="BO85">
        <v>0.22336692</v>
      </c>
      <c r="BP85">
        <v>-1.3742424E-2</v>
      </c>
      <c r="BQ85">
        <v>5.7148073000000001E-2</v>
      </c>
      <c r="BR85">
        <v>-0.13947995999999999</v>
      </c>
      <c r="BS85">
        <v>0.2459587</v>
      </c>
      <c r="BT85">
        <v>6.7128480000000004E-3</v>
      </c>
      <c r="BU85">
        <v>-0.13858464000000001</v>
      </c>
      <c r="BV85">
        <v>6.5363760000000007E-2</v>
      </c>
      <c r="BW85">
        <v>0.27589069999999999</v>
      </c>
      <c r="BX85">
        <v>-0.16679357</v>
      </c>
      <c r="BY85">
        <v>-0.17354506</v>
      </c>
      <c r="BZ85">
        <v>-0.45990209999999998</v>
      </c>
      <c r="CA85">
        <v>-0.21472399</v>
      </c>
      <c r="CB85">
        <v>0.15855706</v>
      </c>
      <c r="CC85">
        <v>8.8904769999999994E-2</v>
      </c>
      <c r="CD85">
        <v>9.8889019999999994E-2</v>
      </c>
      <c r="CE85">
        <v>5.4471098000000003E-2</v>
      </c>
      <c r="CF85">
        <v>0.17784941000000001</v>
      </c>
      <c r="CG85">
        <v>-0.10050704000000001</v>
      </c>
      <c r="CH85">
        <v>-0.29500147999999998</v>
      </c>
      <c r="CI85">
        <v>-1.3505886999999999E-2</v>
      </c>
      <c r="CJ85">
        <v>8.8788339999999993E-2</v>
      </c>
      <c r="CK85">
        <v>0.22594985000000001</v>
      </c>
      <c r="CL85">
        <v>9.3022220000000003E-2</v>
      </c>
      <c r="CM85">
        <v>-0.11251379</v>
      </c>
      <c r="CN85">
        <v>-0.26521444</v>
      </c>
      <c r="CO85">
        <v>-0.19164275</v>
      </c>
      <c r="CP85">
        <v>0.22257853999999999</v>
      </c>
      <c r="CQ85">
        <v>0.33231870000000002</v>
      </c>
      <c r="CR85">
        <v>-0.17609712</v>
      </c>
      <c r="CS85">
        <v>0.11145826</v>
      </c>
      <c r="CT85">
        <v>-0.113523394</v>
      </c>
      <c r="CU85">
        <v>0.13946845999999999</v>
      </c>
      <c r="CV85">
        <v>-0.11787411</v>
      </c>
      <c r="CW85">
        <v>-0.38567923999999998</v>
      </c>
      <c r="CX85">
        <v>-0.14477271</v>
      </c>
      <c r="CY85">
        <v>-1.3420316E-2</v>
      </c>
      <c r="CZ85">
        <v>7.7132753999999998E-2</v>
      </c>
      <c r="DA85">
        <v>-0.14983289</v>
      </c>
      <c r="DB85">
        <v>2.8536700000000002E-2</v>
      </c>
      <c r="DC85">
        <v>7.5392879999999995E-2</v>
      </c>
      <c r="DD85">
        <v>0.11521281</v>
      </c>
      <c r="DE85">
        <v>4.7531959999999998E-2</v>
      </c>
      <c r="DF85">
        <v>6.351147E-2</v>
      </c>
      <c r="DG85">
        <v>0.16272423999999999</v>
      </c>
      <c r="DH85">
        <v>-5.4010204999999999E-2</v>
      </c>
      <c r="DI85">
        <v>0.10296936</v>
      </c>
      <c r="DJ85">
        <v>0.13271408000000001</v>
      </c>
      <c r="DK85">
        <v>0.11343394</v>
      </c>
      <c r="DL85">
        <v>6.0715493000000002E-2</v>
      </c>
      <c r="DM85">
        <v>7.168795E-2</v>
      </c>
      <c r="DN85">
        <v>-0.24866173999999999</v>
      </c>
      <c r="DO85">
        <v>0.15446734000000001</v>
      </c>
      <c r="DP85">
        <v>0.22027203000000001</v>
      </c>
      <c r="DQ85">
        <v>-0.1328241</v>
      </c>
      <c r="DR85">
        <v>-0.20568500000000001</v>
      </c>
      <c r="DS85">
        <v>-0.18006728999999999</v>
      </c>
      <c r="DT85">
        <v>-0.17411488</v>
      </c>
      <c r="DU85">
        <v>2.0537788000000001E-2</v>
      </c>
      <c r="DV85">
        <v>-0.22150274</v>
      </c>
      <c r="DW85">
        <v>3.989823E-2</v>
      </c>
      <c r="DX85">
        <v>-0.18099539000000001</v>
      </c>
      <c r="DY85">
        <v>2.1184870000000001E-2</v>
      </c>
      <c r="DZ85">
        <v>-5.8071669999999999E-2</v>
      </c>
    </row>
    <row r="86" spans="1:130" x14ac:dyDescent="0.3">
      <c r="A86">
        <f>Board!$L$8</f>
        <v>0</v>
      </c>
      <c r="C86">
        <v>-2.3531317999999999E-2</v>
      </c>
      <c r="D86">
        <v>-0.16714871000000001</v>
      </c>
      <c r="E86">
        <v>0.19277166000000001</v>
      </c>
      <c r="F86">
        <v>-4.5906450000000001E-2</v>
      </c>
      <c r="G86">
        <v>-7.2936100000000004E-2</v>
      </c>
      <c r="H86">
        <v>3.9003000000000002E-3</v>
      </c>
      <c r="I86">
        <v>0.13061473000000001</v>
      </c>
      <c r="J86">
        <v>-1.7363941000000001E-2</v>
      </c>
      <c r="K86">
        <v>0.32103009999999998</v>
      </c>
      <c r="L86">
        <v>8.3310424999999994E-2</v>
      </c>
      <c r="M86">
        <v>-0.3133861</v>
      </c>
      <c r="N86">
        <v>0.13140199999999999</v>
      </c>
      <c r="O86">
        <v>-4.2682896999999997E-2</v>
      </c>
      <c r="P86">
        <v>9.2790596000000003E-2</v>
      </c>
      <c r="Q86">
        <v>0.14659760999999999</v>
      </c>
      <c r="R86">
        <v>0.15068825999999999</v>
      </c>
      <c r="S86">
        <v>-0.34004600000000001</v>
      </c>
      <c r="T86">
        <v>1.9757822000000001E-2</v>
      </c>
      <c r="U86">
        <v>8.656047E-2</v>
      </c>
      <c r="V86">
        <v>0.26377812</v>
      </c>
      <c r="W86">
        <v>-1.9292780999999998E-2</v>
      </c>
      <c r="X86">
        <v>-0.17852472</v>
      </c>
      <c r="Y86">
        <v>-1.2746087999999999E-2</v>
      </c>
      <c r="Z86">
        <v>2.3454800000000001E-2</v>
      </c>
      <c r="AA86">
        <v>0.12995704</v>
      </c>
      <c r="AB86">
        <v>-0.19341014000000001</v>
      </c>
      <c r="AC86">
        <v>0.15884123999999999</v>
      </c>
      <c r="AD86">
        <v>-0.40581906000000001</v>
      </c>
      <c r="AE86">
        <v>-8.0904535999999999E-2</v>
      </c>
      <c r="AF86">
        <v>-0.30455716999999999</v>
      </c>
      <c r="AG86">
        <v>0.2239314</v>
      </c>
      <c r="AH86">
        <v>-5.4948179999999999E-2</v>
      </c>
      <c r="AI86">
        <v>-0.18387611000000001</v>
      </c>
      <c r="AJ86">
        <v>0.14472756000000001</v>
      </c>
      <c r="AK86">
        <v>0.22492429999999999</v>
      </c>
      <c r="AL86">
        <v>0.20447464000000001</v>
      </c>
      <c r="AM86">
        <v>0.16807942000000001</v>
      </c>
      <c r="AN86">
        <v>-0.13394565999999999</v>
      </c>
      <c r="AO86">
        <v>-0.13896778000000001</v>
      </c>
      <c r="AP86">
        <v>-0.10499142</v>
      </c>
      <c r="AQ86">
        <v>0.119984336</v>
      </c>
      <c r="AR86">
        <v>-0.28156724999999999</v>
      </c>
      <c r="AS86">
        <v>-3.423768E-2</v>
      </c>
      <c r="AT86">
        <v>-0.24046461</v>
      </c>
      <c r="AU86">
        <v>0.13863543</v>
      </c>
      <c r="AV86">
        <v>9.7906469999999995E-3</v>
      </c>
      <c r="AW86">
        <v>0.13198257999999999</v>
      </c>
      <c r="AX86">
        <v>0.12698828000000001</v>
      </c>
      <c r="AY86">
        <v>-0.49491283000000003</v>
      </c>
      <c r="AZ86">
        <v>-3.7960462E-2</v>
      </c>
      <c r="BA86">
        <v>-0.38528842000000002</v>
      </c>
      <c r="BB86">
        <v>-0.27889346999999998</v>
      </c>
      <c r="BC86">
        <v>9.1030130000000001E-2</v>
      </c>
      <c r="BD86">
        <v>3.3546840000000001E-3</v>
      </c>
      <c r="BE86">
        <v>3.2672011E-3</v>
      </c>
      <c r="BF86">
        <v>-0.33892583999999998</v>
      </c>
      <c r="BG86">
        <v>-4.9821425000000003E-2</v>
      </c>
      <c r="BH86">
        <v>-8.0684690000000003E-2</v>
      </c>
      <c r="BI86">
        <v>-0.15043959000000001</v>
      </c>
      <c r="BJ86">
        <v>-0.13339904</v>
      </c>
      <c r="BK86">
        <v>6.2015003999999999E-2</v>
      </c>
      <c r="BL86">
        <v>-9.3659320000000004E-3</v>
      </c>
      <c r="BM86">
        <v>0.11558938000000001</v>
      </c>
      <c r="BN86">
        <v>-8.7106830000000003E-3</v>
      </c>
      <c r="BO86">
        <v>0.23464866000000001</v>
      </c>
      <c r="BP86">
        <v>-9.9486959999999999E-3</v>
      </c>
      <c r="BQ86">
        <v>0.12362067</v>
      </c>
      <c r="BR86">
        <v>3.7062432999999999E-2</v>
      </c>
      <c r="BS86">
        <v>0.35329115</v>
      </c>
      <c r="BT86">
        <v>-3.9435829999999998E-2</v>
      </c>
      <c r="BU86">
        <v>-0.24889442000000001</v>
      </c>
      <c r="BV86">
        <v>-6.4540600000000004E-2</v>
      </c>
      <c r="BW86">
        <v>8.6640019999999998E-2</v>
      </c>
      <c r="BX86">
        <v>-0.15808480999999999</v>
      </c>
      <c r="BY86">
        <v>-0.18060392</v>
      </c>
      <c r="BZ86">
        <v>-0.49976912000000001</v>
      </c>
      <c r="CA86">
        <v>-5.9900490000000001E-2</v>
      </c>
      <c r="CB86">
        <v>6.130356E-2</v>
      </c>
      <c r="CC86">
        <v>0.33194067999999999</v>
      </c>
      <c r="CD86">
        <v>9.1731383999999999E-2</v>
      </c>
      <c r="CE86">
        <v>-9.284821E-2</v>
      </c>
      <c r="CF86">
        <v>0.20275988</v>
      </c>
      <c r="CG86">
        <v>0.15879415</v>
      </c>
      <c r="CH86">
        <v>2.0434807999999999E-2</v>
      </c>
      <c r="CI86">
        <v>-0.1218656</v>
      </c>
      <c r="CJ86">
        <v>0.22908244999999999</v>
      </c>
      <c r="CK86">
        <v>2.9607485999999999E-2</v>
      </c>
      <c r="CL86">
        <v>6.9688379999999994E-2</v>
      </c>
      <c r="CM86">
        <v>-0.13960700000000001</v>
      </c>
      <c r="CN86">
        <v>-6.7766203999999997E-2</v>
      </c>
      <c r="CO86">
        <v>-0.19048211000000001</v>
      </c>
      <c r="CP86">
        <v>-0.124227986</v>
      </c>
      <c r="CQ86">
        <v>8.8635616E-2</v>
      </c>
      <c r="CR86">
        <v>-2.3308578999999999E-2</v>
      </c>
      <c r="CS86">
        <v>0.2264292</v>
      </c>
      <c r="CT86">
        <v>2.2332685000000001E-2</v>
      </c>
      <c r="CU86">
        <v>0.10054717000000001</v>
      </c>
      <c r="CV86">
        <v>-0.37390580000000001</v>
      </c>
      <c r="CW86">
        <v>-0.29533228</v>
      </c>
      <c r="CX86">
        <v>-0.37470209999999998</v>
      </c>
      <c r="CY86">
        <v>-0.21823223</v>
      </c>
      <c r="CZ86">
        <v>0.15815546</v>
      </c>
      <c r="DA86">
        <v>4.7524641999999999E-2</v>
      </c>
      <c r="DB86">
        <v>9.6336099999999994E-2</v>
      </c>
      <c r="DC86">
        <v>7.4350390000000002E-2</v>
      </c>
      <c r="DD86">
        <v>-0.34834090000000001</v>
      </c>
      <c r="DE86">
        <v>-0.13468142</v>
      </c>
      <c r="DF86">
        <v>0.25616982999999999</v>
      </c>
      <c r="DG86">
        <v>0.21550727</v>
      </c>
      <c r="DH86">
        <v>9.2894199999999996E-2</v>
      </c>
      <c r="DI86">
        <v>0.20314677</v>
      </c>
      <c r="DJ86">
        <v>6.9386884999999995E-2</v>
      </c>
      <c r="DK86">
        <v>0.22438784000000001</v>
      </c>
      <c r="DL86">
        <v>-0.12248961</v>
      </c>
      <c r="DM86">
        <v>-4.5951612000000003E-2</v>
      </c>
      <c r="DN86">
        <v>-0.14898333</v>
      </c>
      <c r="DO86">
        <v>0.18124594999999999</v>
      </c>
      <c r="DP86">
        <v>0.1449703</v>
      </c>
      <c r="DQ86">
        <v>0.13343763</v>
      </c>
      <c r="DR86">
        <v>-6.4556130000000003E-2</v>
      </c>
      <c r="DS86">
        <v>-0.27484354</v>
      </c>
      <c r="DT86">
        <v>4.8997079999999998E-2</v>
      </c>
      <c r="DU86">
        <v>7.1124549999999995E-2</v>
      </c>
      <c r="DV86">
        <v>-0.27196586</v>
      </c>
      <c r="DW86">
        <v>3.7358454999999999E-2</v>
      </c>
      <c r="DX86">
        <v>6.0962120000000002E-2</v>
      </c>
      <c r="DY86">
        <v>0.25815450000000001</v>
      </c>
      <c r="DZ86">
        <v>4.7558985999999998E-2</v>
      </c>
    </row>
    <row r="87" spans="1:130" x14ac:dyDescent="0.3">
      <c r="A87">
        <f>Board!$M$8</f>
        <v>0</v>
      </c>
      <c r="C87">
        <v>-2.9329358E-2</v>
      </c>
      <c r="D87">
        <v>-0.33648273000000001</v>
      </c>
      <c r="E87">
        <v>1.7529429E-3</v>
      </c>
      <c r="F87">
        <v>4.6793286000000003E-2</v>
      </c>
      <c r="G87">
        <v>-4.8279460000000003E-2</v>
      </c>
      <c r="H87">
        <v>6.6205170000000002E-3</v>
      </c>
      <c r="I87">
        <v>-1.1474224999999999E-2</v>
      </c>
      <c r="J87">
        <v>-1.9778774999999998E-2</v>
      </c>
      <c r="K87">
        <v>0.30070168000000003</v>
      </c>
      <c r="L87">
        <v>-8.6006470000000002E-2</v>
      </c>
      <c r="M87">
        <v>3.8859807000000003E-2</v>
      </c>
      <c r="N87">
        <v>0.20992461000000001</v>
      </c>
      <c r="O87">
        <v>-0.26742009999999999</v>
      </c>
      <c r="P87">
        <v>6.9285139999999995E-2</v>
      </c>
      <c r="Q87">
        <v>3.9962972999999999E-2</v>
      </c>
      <c r="R87">
        <v>0.26452651999999999</v>
      </c>
      <c r="S87">
        <v>-0.18292224000000001</v>
      </c>
      <c r="T87">
        <v>-1.8860709999999999E-2</v>
      </c>
      <c r="U87">
        <v>-0.13758518</v>
      </c>
      <c r="V87">
        <v>-8.2034410000000002E-2</v>
      </c>
      <c r="W87">
        <v>-0.12694757000000001</v>
      </c>
      <c r="X87">
        <v>-0.17552039</v>
      </c>
      <c r="Y87">
        <v>-0.24017727</v>
      </c>
      <c r="Z87">
        <v>-0.14902960000000001</v>
      </c>
      <c r="AA87">
        <v>0.11191238000000001</v>
      </c>
      <c r="AB87">
        <v>0.20887165999999999</v>
      </c>
      <c r="AC87">
        <v>0.26089030000000002</v>
      </c>
      <c r="AD87">
        <v>-0.13307485999999999</v>
      </c>
      <c r="AE87">
        <v>0.13102669</v>
      </c>
      <c r="AF87">
        <v>-0.16737175000000001</v>
      </c>
      <c r="AG87">
        <v>1.6899661999999999E-2</v>
      </c>
      <c r="AH87">
        <v>2.2710586000000001E-2</v>
      </c>
      <c r="AI87">
        <v>-0.13022790000000001</v>
      </c>
      <c r="AJ87">
        <v>-7.4337970000000003E-2</v>
      </c>
      <c r="AK87">
        <v>0.416047</v>
      </c>
      <c r="AL87">
        <v>0.17970267000000001</v>
      </c>
      <c r="AM87">
        <v>0.17013337000000001</v>
      </c>
      <c r="AN87">
        <v>-4.9070460000000003E-2</v>
      </c>
      <c r="AO87">
        <v>-0.3412152</v>
      </c>
      <c r="AP87">
        <v>-0.17975596999999999</v>
      </c>
      <c r="AQ87">
        <v>9.5684829999999998E-2</v>
      </c>
      <c r="AR87">
        <v>-5.0306709999999998E-2</v>
      </c>
      <c r="AS87">
        <v>0.35992172</v>
      </c>
      <c r="AT87">
        <v>-0.26412170000000001</v>
      </c>
      <c r="AU87">
        <v>5.1682289999999999E-2</v>
      </c>
      <c r="AV87">
        <v>-7.9363870000000003E-2</v>
      </c>
      <c r="AW87">
        <v>6.3337340000000006E-2</v>
      </c>
      <c r="AX87">
        <v>0.23483977</v>
      </c>
      <c r="AY87">
        <v>5.7551946E-2</v>
      </c>
      <c r="AZ87">
        <v>-0.120033875</v>
      </c>
      <c r="BA87">
        <v>-0.29107063999999999</v>
      </c>
      <c r="BB87">
        <v>-0.16238806</v>
      </c>
      <c r="BC87">
        <v>0.10701205599999999</v>
      </c>
      <c r="BD87">
        <v>0.25517960000000001</v>
      </c>
      <c r="BE87">
        <v>0.114275746</v>
      </c>
      <c r="BF87">
        <v>-0.23186435999999999</v>
      </c>
      <c r="BG87">
        <v>-9.7166130000000003E-2</v>
      </c>
      <c r="BH87">
        <v>0.43203932</v>
      </c>
      <c r="BI87">
        <v>-6.2245764000000002E-2</v>
      </c>
      <c r="BJ87">
        <v>0.20805886000000001</v>
      </c>
      <c r="BK87">
        <v>-0.34644829999999999</v>
      </c>
      <c r="BL87">
        <v>-5.3350979999999999E-2</v>
      </c>
      <c r="BM87">
        <v>-2.0439570000000001E-2</v>
      </c>
      <c r="BN87">
        <v>-2.4332372000000001E-2</v>
      </c>
      <c r="BO87">
        <v>0.27316752</v>
      </c>
      <c r="BP87">
        <v>-2.4690892999999999E-3</v>
      </c>
      <c r="BQ87">
        <v>0.34747505000000001</v>
      </c>
      <c r="BR87">
        <v>-8.9285895000000004E-2</v>
      </c>
      <c r="BS87">
        <v>0.32556632000000002</v>
      </c>
      <c r="BT87">
        <v>0.13280544999999999</v>
      </c>
      <c r="BU87">
        <v>-0.16630971</v>
      </c>
      <c r="BV87">
        <v>-0.13148873999999999</v>
      </c>
      <c r="BW87">
        <v>-7.1159580000000004E-3</v>
      </c>
      <c r="BX87">
        <v>6.937277E-2</v>
      </c>
      <c r="BY87">
        <v>0.18512696000000001</v>
      </c>
      <c r="BZ87">
        <v>-9.0552179999999996E-2</v>
      </c>
      <c r="CA87">
        <v>-3.3431229999999999E-2</v>
      </c>
      <c r="CB87">
        <v>0.15337397</v>
      </c>
      <c r="CC87">
        <v>0.31255850000000002</v>
      </c>
      <c r="CD87">
        <v>0.20576264</v>
      </c>
      <c r="CE87">
        <v>0.122240365</v>
      </c>
      <c r="CF87">
        <v>0.45829566999999999</v>
      </c>
      <c r="CG87">
        <v>-6.6111593999999996E-2</v>
      </c>
      <c r="CH87">
        <v>-8.5116889999999994E-3</v>
      </c>
      <c r="CI87">
        <v>7.9408093999999999E-2</v>
      </c>
      <c r="CJ87">
        <v>-3.8226503E-3</v>
      </c>
      <c r="CK87">
        <v>-0.16560722999999999</v>
      </c>
      <c r="CL87">
        <v>-0.21410957</v>
      </c>
      <c r="CM87">
        <v>-6.3277244999999996E-3</v>
      </c>
      <c r="CN87">
        <v>-5.4161040000000001E-2</v>
      </c>
      <c r="CO87">
        <v>6.8489670000000002E-2</v>
      </c>
      <c r="CP87">
        <v>-6.2575339999999993E-2</v>
      </c>
      <c r="CQ87">
        <v>8.2557625999999995E-2</v>
      </c>
      <c r="CR87">
        <v>0.27823927999999998</v>
      </c>
      <c r="CS87">
        <v>-1.9568728000000001E-2</v>
      </c>
      <c r="CT87">
        <v>-8.8050275999999997E-2</v>
      </c>
      <c r="CU87">
        <v>-0.27631645999999999</v>
      </c>
      <c r="CV87">
        <v>-0.12322052999999999</v>
      </c>
      <c r="CW87">
        <v>-0.31922107999999999</v>
      </c>
      <c r="CX87">
        <v>6.8920369999999995E-2</v>
      </c>
      <c r="CY87">
        <v>-0.14437804000000001</v>
      </c>
      <c r="CZ87">
        <v>0.12122691400000001</v>
      </c>
      <c r="DA87">
        <v>-0.20499381</v>
      </c>
      <c r="DB87">
        <v>0.2735668</v>
      </c>
      <c r="DC87">
        <v>9.5564039999999992E-3</v>
      </c>
      <c r="DD87">
        <v>-0.14378731</v>
      </c>
      <c r="DE87">
        <v>-0.13935232</v>
      </c>
      <c r="DF87">
        <v>0.2295083</v>
      </c>
      <c r="DG87">
        <v>4.240215E-2</v>
      </c>
      <c r="DH87">
        <v>0.20599698999999999</v>
      </c>
      <c r="DI87">
        <v>9.999769E-2</v>
      </c>
      <c r="DJ87">
        <v>0.19707885</v>
      </c>
      <c r="DK87">
        <v>-0.14991294999999999</v>
      </c>
      <c r="DL87">
        <v>-0.22698028000000001</v>
      </c>
      <c r="DM87">
        <v>-6.8553745999999999E-2</v>
      </c>
      <c r="DN87">
        <v>-3.8134806E-2</v>
      </c>
      <c r="DO87">
        <v>0.39736524000000001</v>
      </c>
      <c r="DP87">
        <v>0.34275531999999997</v>
      </c>
      <c r="DQ87">
        <v>-0.13908179000000001</v>
      </c>
      <c r="DR87">
        <v>3.64089E-4</v>
      </c>
      <c r="DS87">
        <v>-0.15288657</v>
      </c>
      <c r="DT87">
        <v>0.25389686</v>
      </c>
      <c r="DU87">
        <v>3.0499862999999999E-2</v>
      </c>
      <c r="DV87">
        <v>-0.11712992</v>
      </c>
      <c r="DW87">
        <v>-9.7420939999999998E-2</v>
      </c>
      <c r="DX87">
        <v>0.21120812999999999</v>
      </c>
      <c r="DY87">
        <v>0.13198076</v>
      </c>
      <c r="DZ87">
        <v>0.12942903</v>
      </c>
    </row>
    <row r="88" spans="1:130" x14ac:dyDescent="0.3">
      <c r="A88">
        <f>Board!$B$9</f>
        <v>0</v>
      </c>
      <c r="C88">
        <v>0.16034386</v>
      </c>
      <c r="D88">
        <v>-0.14622904</v>
      </c>
      <c r="E88">
        <v>8.2110659999999995E-3</v>
      </c>
      <c r="F88">
        <v>-0.10055726</v>
      </c>
      <c r="G88">
        <v>2.6678927999999999E-4</v>
      </c>
      <c r="H88">
        <v>-3.9331890000000001E-2</v>
      </c>
      <c r="I88">
        <v>-5.2044491999999998E-2</v>
      </c>
      <c r="J88">
        <v>6.1442282000000001E-2</v>
      </c>
      <c r="K88">
        <v>-0.11592793</v>
      </c>
      <c r="L88">
        <v>4.6788990000000003E-2</v>
      </c>
      <c r="M88">
        <v>-4.0345203000000003E-2</v>
      </c>
      <c r="N88">
        <v>-7.502789E-2</v>
      </c>
      <c r="O88">
        <v>0.25569787999999999</v>
      </c>
      <c r="P88">
        <v>-0.11233878999999999</v>
      </c>
      <c r="Q88">
        <v>0.23820016999999999</v>
      </c>
      <c r="R88">
        <v>-3.3107860000000003E-2</v>
      </c>
      <c r="S88">
        <v>0.11349258600000001</v>
      </c>
      <c r="T88">
        <v>0.11796304000000001</v>
      </c>
      <c r="U88">
        <v>-0.10312905999999999</v>
      </c>
      <c r="V88">
        <v>8.2405619999999999E-2</v>
      </c>
      <c r="W88">
        <v>0.23064726999999999</v>
      </c>
      <c r="X88">
        <v>-9.5534850000000004E-2</v>
      </c>
      <c r="Y88">
        <v>-1.4699337E-2</v>
      </c>
      <c r="Z88">
        <v>6.7356706000000002E-2</v>
      </c>
      <c r="AA88">
        <v>4.3643969999999997E-2</v>
      </c>
      <c r="AB88">
        <v>0.34422219999999998</v>
      </c>
      <c r="AC88">
        <v>-0.12331736</v>
      </c>
      <c r="AD88">
        <v>-9.9678025000000003E-2</v>
      </c>
      <c r="AE88">
        <v>-0.13610221</v>
      </c>
      <c r="AF88">
        <v>5.4980979999999999E-3</v>
      </c>
      <c r="AG88">
        <v>3.3023446999999997E-2</v>
      </c>
      <c r="AH88">
        <v>-8.5650699999999996E-2</v>
      </c>
      <c r="AI88">
        <v>7.7143989999999996E-2</v>
      </c>
      <c r="AJ88">
        <v>6.0780889999999997E-2</v>
      </c>
      <c r="AK88">
        <v>-9.6708660000000002E-2</v>
      </c>
      <c r="AL88">
        <v>2.4680441000000001E-2</v>
      </c>
      <c r="AM88">
        <v>-0.24788099999999999</v>
      </c>
      <c r="AN88">
        <v>0.13172813</v>
      </c>
      <c r="AO88">
        <v>9.6016589999999999E-2</v>
      </c>
      <c r="AP88">
        <v>3.3889163E-2</v>
      </c>
      <c r="AQ88">
        <v>-0.18019468</v>
      </c>
      <c r="AR88">
        <v>-0.16288404000000001</v>
      </c>
      <c r="AS88">
        <v>-2.7291449999999998E-2</v>
      </c>
      <c r="AT88">
        <v>-6.8740309999999999E-2</v>
      </c>
      <c r="AU88">
        <v>0.22972580000000001</v>
      </c>
      <c r="AV88">
        <v>-0.19894086999999999</v>
      </c>
      <c r="AW88">
        <v>0.13069790000000001</v>
      </c>
      <c r="AX88">
        <v>-1.9754150000000002E-2</v>
      </c>
      <c r="AY88">
        <v>-1.1325955E-2</v>
      </c>
      <c r="AZ88">
        <v>-1.1485044E-2</v>
      </c>
      <c r="BA88">
        <v>-0.16363516</v>
      </c>
      <c r="BB88">
        <v>0.10924571</v>
      </c>
      <c r="BC88">
        <v>0.20558833000000001</v>
      </c>
      <c r="BD88">
        <v>-0.24320415000000001</v>
      </c>
      <c r="BE88">
        <v>0.107078806</v>
      </c>
      <c r="BF88">
        <v>0.29361224000000002</v>
      </c>
      <c r="BG88">
        <v>6.4118030000000006E-2</v>
      </c>
      <c r="BH88">
        <v>-0.11674449000000001</v>
      </c>
      <c r="BI88">
        <v>0.16989517000000001</v>
      </c>
      <c r="BJ88">
        <v>0.11275913999999999</v>
      </c>
      <c r="BK88">
        <v>8.0596320000000006E-3</v>
      </c>
      <c r="BL88">
        <v>6.7493655E-2</v>
      </c>
      <c r="BM88">
        <v>3.0123988000000001E-2</v>
      </c>
      <c r="BN88">
        <v>-4.8967864E-2</v>
      </c>
      <c r="BO88">
        <v>0.25627220000000001</v>
      </c>
      <c r="BP88">
        <v>0.17313042000000001</v>
      </c>
      <c r="BQ88">
        <v>0.37590978000000003</v>
      </c>
      <c r="BR88">
        <v>-1.4380728000000001E-2</v>
      </c>
      <c r="BS88">
        <v>-6.6388779999999994E-2</v>
      </c>
      <c r="BT88">
        <v>8.451256E-2</v>
      </c>
      <c r="BU88">
        <v>-3.1035999000000002E-2</v>
      </c>
      <c r="BV88">
        <v>-5.7437244999999998E-2</v>
      </c>
      <c r="BW88">
        <v>4.4244222E-2</v>
      </c>
      <c r="BX88">
        <v>-0.17762610000000001</v>
      </c>
      <c r="BY88">
        <v>-5.9859519999999999E-2</v>
      </c>
      <c r="BZ88">
        <v>-2.7704664E-2</v>
      </c>
      <c r="CA88">
        <v>-3.1750396E-2</v>
      </c>
      <c r="CB88">
        <v>0.19835591</v>
      </c>
      <c r="CC88">
        <v>0.12027805</v>
      </c>
      <c r="CD88">
        <v>1.6004649999999999E-2</v>
      </c>
      <c r="CE88">
        <v>1.5767861000000001E-2</v>
      </c>
      <c r="CF88">
        <v>7.4183403999999994E-2</v>
      </c>
      <c r="CG88">
        <v>0.17863107</v>
      </c>
      <c r="CH88">
        <v>3.4717102999999999E-3</v>
      </c>
      <c r="CI88">
        <v>-0.17791443000000001</v>
      </c>
      <c r="CJ88">
        <v>-8.2969635999999999E-2</v>
      </c>
      <c r="CK88">
        <v>-8.6985199999999995E-4</v>
      </c>
      <c r="CL88">
        <v>5.0051621999999997E-2</v>
      </c>
      <c r="CM88">
        <v>2.4514662E-2</v>
      </c>
      <c r="CN88">
        <v>-6.2077E-2</v>
      </c>
      <c r="CO88">
        <v>-5.3733564000000003E-3</v>
      </c>
      <c r="CP88">
        <v>-0.12944890000000001</v>
      </c>
      <c r="CQ88">
        <v>2.1917209E-2</v>
      </c>
      <c r="CR88">
        <v>-1.8499952E-2</v>
      </c>
      <c r="CS88">
        <v>2.06216E-2</v>
      </c>
      <c r="CT88">
        <v>-5.4049153000000003E-2</v>
      </c>
      <c r="CU88">
        <v>8.2568823999999999E-2</v>
      </c>
      <c r="CV88">
        <v>-4.2546026000000001E-2</v>
      </c>
      <c r="CW88">
        <v>9.607802E-2</v>
      </c>
      <c r="CX88">
        <v>0.10477684</v>
      </c>
      <c r="CY88">
        <v>0.10744210999999999</v>
      </c>
      <c r="CZ88">
        <v>8.0749740000000004E-3</v>
      </c>
      <c r="DA88">
        <v>-0.24245246000000001</v>
      </c>
      <c r="DB88">
        <v>0.36190706</v>
      </c>
      <c r="DC88">
        <v>0.10510731</v>
      </c>
      <c r="DD88">
        <v>-0.13854104</v>
      </c>
      <c r="DE88">
        <v>7.7433034999999997E-2</v>
      </c>
      <c r="DF88">
        <v>9.7978969999999999E-2</v>
      </c>
      <c r="DG88">
        <v>-0.12542159999999999</v>
      </c>
      <c r="DH88">
        <v>-0.10233041</v>
      </c>
      <c r="DI88">
        <v>-0.1394348</v>
      </c>
      <c r="DJ88">
        <v>-0.18480645000000001</v>
      </c>
      <c r="DK88">
        <v>3.1199351E-2</v>
      </c>
      <c r="DL88">
        <v>5.0840534E-2</v>
      </c>
      <c r="DM88">
        <v>-0.14883250000000001</v>
      </c>
      <c r="DN88">
        <v>-1.5546917E-2</v>
      </c>
      <c r="DO88">
        <v>0.12766010999999999</v>
      </c>
      <c r="DP88">
        <v>5.6365100000000001E-2</v>
      </c>
      <c r="DQ88">
        <v>0.14063829</v>
      </c>
      <c r="DR88">
        <v>0.19774649999999999</v>
      </c>
      <c r="DS88">
        <v>0.22258225000000001</v>
      </c>
      <c r="DT88">
        <v>3.7481975000000001E-2</v>
      </c>
      <c r="DU88">
        <v>-7.8330339999999998E-2</v>
      </c>
      <c r="DV88">
        <v>-0.20548177000000001</v>
      </c>
      <c r="DW88">
        <v>2.9210767000000001E-3</v>
      </c>
      <c r="DX88">
        <v>-3.9557072999999998E-2</v>
      </c>
      <c r="DY88">
        <v>4.2685877999999997E-2</v>
      </c>
      <c r="DZ88">
        <v>0.22835004</v>
      </c>
    </row>
    <row r="89" spans="1:130" x14ac:dyDescent="0.3">
      <c r="A89">
        <f>Board!$C$9</f>
        <v>0</v>
      </c>
      <c r="C89">
        <v>9.8853960000000005E-2</v>
      </c>
      <c r="D89">
        <v>-0.35271636000000001</v>
      </c>
      <c r="E89">
        <v>-0.19871268</v>
      </c>
      <c r="F89">
        <v>9.3277189999999996E-2</v>
      </c>
      <c r="G89">
        <v>8.4516025999999994E-2</v>
      </c>
      <c r="H89">
        <v>0.18086097000000001</v>
      </c>
      <c r="I89">
        <v>7.307466E-2</v>
      </c>
      <c r="J89">
        <v>-0.17657791</v>
      </c>
      <c r="K89">
        <v>-2.1484591000000001E-2</v>
      </c>
      <c r="L89">
        <v>-0.13372120000000001</v>
      </c>
      <c r="M89">
        <v>0.10137652</v>
      </c>
      <c r="N89">
        <v>0.23109441999999999</v>
      </c>
      <c r="O89">
        <v>-9.7932350000000001E-2</v>
      </c>
      <c r="P89">
        <v>-0.14737235000000001</v>
      </c>
      <c r="Q89">
        <v>0.3628227</v>
      </c>
      <c r="R89">
        <v>-3.5565014999999998E-2</v>
      </c>
      <c r="S89">
        <v>9.0783799999999998E-2</v>
      </c>
      <c r="T89">
        <v>-0.36819829999999998</v>
      </c>
      <c r="U89">
        <v>-0.2152241</v>
      </c>
      <c r="V89">
        <v>-8.3181459999999999E-2</v>
      </c>
      <c r="W89">
        <v>-4.7444269999999998E-3</v>
      </c>
      <c r="X89">
        <v>-0.38377059000000002</v>
      </c>
      <c r="Y89">
        <v>-0.30419537000000002</v>
      </c>
      <c r="Z89">
        <v>0.10583436</v>
      </c>
      <c r="AA89">
        <v>-6.5535419999999997E-2</v>
      </c>
      <c r="AB89">
        <v>0.23614293</v>
      </c>
      <c r="AC89">
        <v>-5.7918966000000002E-2</v>
      </c>
      <c r="AD89">
        <v>5.4557260000000003E-2</v>
      </c>
      <c r="AE89">
        <v>-2.3668765000000001E-3</v>
      </c>
      <c r="AF89">
        <v>-0.21515297999999999</v>
      </c>
      <c r="AG89">
        <v>7.5828716000000004E-2</v>
      </c>
      <c r="AH89">
        <v>0.10577902</v>
      </c>
      <c r="AI89">
        <v>0.15849606999999999</v>
      </c>
      <c r="AJ89">
        <v>-0.29468759999999999</v>
      </c>
      <c r="AK89">
        <v>5.9963570000000001E-2</v>
      </c>
      <c r="AL89">
        <v>-4.7351195999999998E-2</v>
      </c>
      <c r="AM89">
        <v>0.10581320499999999</v>
      </c>
      <c r="AN89">
        <v>0.16891977</v>
      </c>
      <c r="AO89">
        <v>-7.9619079999999995E-2</v>
      </c>
      <c r="AP89">
        <v>0.24280961000000001</v>
      </c>
      <c r="AQ89">
        <v>-9.6354690000000007E-2</v>
      </c>
      <c r="AR89">
        <v>-7.5351130000000002E-2</v>
      </c>
      <c r="AS89">
        <v>-8.354512E-2</v>
      </c>
      <c r="AT89">
        <v>-9.0297569999999994E-2</v>
      </c>
      <c r="AU89">
        <v>-6.1858594000000003E-2</v>
      </c>
      <c r="AV89">
        <v>6.9060679999999999E-2</v>
      </c>
      <c r="AW89">
        <v>-2.7716991999999999E-2</v>
      </c>
      <c r="AX89">
        <v>0.13518490999999999</v>
      </c>
      <c r="AY89">
        <v>-0.104760796</v>
      </c>
      <c r="AZ89">
        <v>9.5460123999999993E-2</v>
      </c>
      <c r="BA89">
        <v>-0.12850031000000001</v>
      </c>
      <c r="BB89">
        <v>0.14564292000000001</v>
      </c>
      <c r="BC89">
        <v>0.15566095999999999</v>
      </c>
      <c r="BD89">
        <v>4.2639865999999998E-2</v>
      </c>
      <c r="BE89">
        <v>0.13629858</v>
      </c>
      <c r="BF89">
        <v>8.2499020000000006E-2</v>
      </c>
      <c r="BG89">
        <v>-2.3771845E-2</v>
      </c>
      <c r="BH89">
        <v>-2.8387547999999999E-2</v>
      </c>
      <c r="BI89">
        <v>0.24599083999999999</v>
      </c>
      <c r="BJ89">
        <v>-7.2357599999999994E-2</v>
      </c>
      <c r="BK89">
        <v>-6.5246109999999996E-2</v>
      </c>
      <c r="BL89">
        <v>4.2876415000000001E-2</v>
      </c>
      <c r="BM89">
        <v>0.16370270000000001</v>
      </c>
      <c r="BN89">
        <v>0.18538404</v>
      </c>
      <c r="BO89">
        <v>0.27418372000000002</v>
      </c>
      <c r="BP89">
        <v>0.113649994</v>
      </c>
      <c r="BQ89">
        <v>0.18399377</v>
      </c>
      <c r="BR89">
        <v>0.23909836000000001</v>
      </c>
      <c r="BS89">
        <v>6.2551490000000001E-2</v>
      </c>
      <c r="BT89">
        <v>0.24544576000000001</v>
      </c>
      <c r="BU89">
        <v>4.1910514000000003E-2</v>
      </c>
      <c r="BV89">
        <v>0.17241284000000001</v>
      </c>
      <c r="BW89">
        <v>9.1720350000000006E-2</v>
      </c>
      <c r="BX89">
        <v>-0.21544759999999999</v>
      </c>
      <c r="BY89">
        <v>-6.4991179999999996E-2</v>
      </c>
      <c r="BZ89">
        <v>-8.3140140000000001E-2</v>
      </c>
      <c r="CA89">
        <v>-0.16535001999999999</v>
      </c>
      <c r="CB89">
        <v>3.5921416999999997E-2</v>
      </c>
      <c r="CC89">
        <v>0.23447253000000001</v>
      </c>
      <c r="CD89">
        <v>0.11487564</v>
      </c>
      <c r="CE89">
        <v>7.6587829999999996E-2</v>
      </c>
      <c r="CF89">
        <v>-1.2374872E-2</v>
      </c>
      <c r="CG89">
        <v>0.20131178</v>
      </c>
      <c r="CH89">
        <v>-9.7521220000000006E-2</v>
      </c>
      <c r="CI89">
        <v>-0.18932433000000001</v>
      </c>
      <c r="CJ89">
        <v>0.16870146999999999</v>
      </c>
      <c r="CK89">
        <v>-0.19697029999999999</v>
      </c>
      <c r="CL89">
        <v>0.29742774</v>
      </c>
      <c r="CM89">
        <v>9.5195695999999996E-2</v>
      </c>
      <c r="CN89">
        <v>-6.6343929999999995E-2</v>
      </c>
      <c r="CO89">
        <v>6.9380579999999997E-2</v>
      </c>
      <c r="CP89">
        <v>-0.13532712</v>
      </c>
      <c r="CQ89">
        <v>0.19335121999999999</v>
      </c>
      <c r="CR89">
        <v>0.1886709</v>
      </c>
      <c r="CS89">
        <v>-9.3748696000000006E-2</v>
      </c>
      <c r="CT89">
        <v>-8.5756189999999996E-2</v>
      </c>
      <c r="CU89">
        <v>-8.7415370000000006E-3</v>
      </c>
      <c r="CV89">
        <v>-0.15415551</v>
      </c>
      <c r="CW89">
        <v>2.7662002000000002E-2</v>
      </c>
      <c r="CX89">
        <v>-0.15525891</v>
      </c>
      <c r="CY89">
        <v>-0.14863647999999999</v>
      </c>
      <c r="CZ89">
        <v>-0.13474259</v>
      </c>
      <c r="DA89">
        <v>-9.3705049999999998E-2</v>
      </c>
      <c r="DB89">
        <v>0.45742828000000002</v>
      </c>
      <c r="DC89">
        <v>-0.19608941999999999</v>
      </c>
      <c r="DD89">
        <v>-0.22056371999999999</v>
      </c>
      <c r="DE89">
        <v>3.9096350000000002E-2</v>
      </c>
      <c r="DF89">
        <v>0.16964138000000001</v>
      </c>
      <c r="DG89">
        <v>-0.12294705</v>
      </c>
      <c r="DH89">
        <v>-0.22568959</v>
      </c>
      <c r="DI89">
        <v>-6.6103430000000005E-2</v>
      </c>
      <c r="DJ89">
        <v>-0.15048264</v>
      </c>
      <c r="DK89">
        <v>0.2009669</v>
      </c>
      <c r="DL89">
        <v>8.677646E-2</v>
      </c>
      <c r="DM89">
        <v>4.8011449999999997E-2</v>
      </c>
      <c r="DN89">
        <v>0.1604834</v>
      </c>
      <c r="DO89">
        <v>0.12870775000000001</v>
      </c>
      <c r="DP89">
        <v>-0.13640872000000001</v>
      </c>
      <c r="DQ89">
        <v>-5.0455824000000003E-2</v>
      </c>
      <c r="DR89">
        <v>0.20909649999999999</v>
      </c>
      <c r="DS89">
        <v>0.26493332000000003</v>
      </c>
      <c r="DT89">
        <v>-7.6012659999999996E-2</v>
      </c>
      <c r="DU89">
        <v>-3.8788624000000001E-2</v>
      </c>
      <c r="DV89">
        <v>-1.7049662999999999E-3</v>
      </c>
      <c r="DW89">
        <v>2.1228315000000001E-2</v>
      </c>
      <c r="DX89">
        <v>-0.21922699000000001</v>
      </c>
      <c r="DY89">
        <v>-2.3997324E-2</v>
      </c>
      <c r="DZ89">
        <v>-5.6847990000000001E-2</v>
      </c>
    </row>
    <row r="90" spans="1:130" x14ac:dyDescent="0.3">
      <c r="A90">
        <f>Board!$D$9</f>
        <v>0</v>
      </c>
      <c r="C90">
        <v>-1.8724524999999999E-2</v>
      </c>
      <c r="D90">
        <v>-0.32317466</v>
      </c>
      <c r="E90">
        <v>-0.20927913000000001</v>
      </c>
      <c r="F90">
        <v>-2.6292915E-2</v>
      </c>
      <c r="G90">
        <v>-0.23166965</v>
      </c>
      <c r="H90">
        <v>8.7052784999999994E-2</v>
      </c>
      <c r="I90">
        <v>2.5647728000000002E-2</v>
      </c>
      <c r="J90">
        <v>-0.26819875999999998</v>
      </c>
      <c r="K90">
        <v>0.21484086999999999</v>
      </c>
      <c r="L90">
        <v>-0.49748972000000002</v>
      </c>
      <c r="M90">
        <v>-0.28300992000000003</v>
      </c>
      <c r="N90">
        <v>0.15505376000000001</v>
      </c>
      <c r="O90">
        <v>-0.24190606000000001</v>
      </c>
      <c r="P90">
        <v>8.917361E-2</v>
      </c>
      <c r="Q90">
        <v>0.23179166000000001</v>
      </c>
      <c r="R90">
        <v>5.4303749999999998E-2</v>
      </c>
      <c r="S90">
        <v>-7.0690185000000003E-2</v>
      </c>
      <c r="T90">
        <v>-0.46477990000000002</v>
      </c>
      <c r="U90">
        <v>-6.1899445999999997E-2</v>
      </c>
      <c r="V90">
        <v>-2.6533267999999999E-2</v>
      </c>
      <c r="W90">
        <v>-0.27569166000000001</v>
      </c>
      <c r="X90">
        <v>3.407458E-2</v>
      </c>
      <c r="Y90">
        <v>-0.39132622</v>
      </c>
      <c r="Z90">
        <v>8.3797224000000003E-2</v>
      </c>
      <c r="AA90">
        <v>-0.33997794999999997</v>
      </c>
      <c r="AB90">
        <v>6.7208803999999997E-2</v>
      </c>
      <c r="AC90">
        <v>0.23632602</v>
      </c>
      <c r="AD90">
        <v>-2.1343603999999999E-2</v>
      </c>
      <c r="AE90">
        <v>1.0774519999999999E-2</v>
      </c>
      <c r="AF90">
        <v>-0.45081114999999999</v>
      </c>
      <c r="AG90">
        <v>0.20318723</v>
      </c>
      <c r="AH90">
        <v>0.11745227</v>
      </c>
      <c r="AI90">
        <v>6.9563545000000004E-2</v>
      </c>
      <c r="AJ90">
        <v>-0.59829270000000001</v>
      </c>
      <c r="AK90">
        <v>-4.1350326999999999E-2</v>
      </c>
      <c r="AL90">
        <v>-0.28180044999999998</v>
      </c>
      <c r="AM90">
        <v>6.8521276000000006E-2</v>
      </c>
      <c r="AN90">
        <v>0.14906607999999999</v>
      </c>
      <c r="AO90">
        <v>-7.3362189999999994E-2</v>
      </c>
      <c r="AP90">
        <v>0.25291170000000002</v>
      </c>
      <c r="AQ90">
        <v>0.10515690599999999</v>
      </c>
      <c r="AR90">
        <v>-0.1221015</v>
      </c>
      <c r="AS90">
        <v>0.21585167999999999</v>
      </c>
      <c r="AT90">
        <v>-0.19319859</v>
      </c>
      <c r="AU90">
        <v>-0.22869610000000001</v>
      </c>
      <c r="AV90">
        <v>-0.16831408</v>
      </c>
      <c r="AW90">
        <v>9.5476909999999998E-2</v>
      </c>
      <c r="AX90">
        <v>-9.3423835999999996E-2</v>
      </c>
      <c r="AY90">
        <v>-0.19287003999999999</v>
      </c>
      <c r="AZ90">
        <v>4.1025119999999998E-2</v>
      </c>
      <c r="BA90">
        <v>-0.26040459999999999</v>
      </c>
      <c r="BB90">
        <v>0.1021299</v>
      </c>
      <c r="BC90">
        <v>6.9222770000000003E-2</v>
      </c>
      <c r="BD90">
        <v>0.15799583</v>
      </c>
      <c r="BE90">
        <v>-6.3409515E-2</v>
      </c>
      <c r="BF90">
        <v>-0.27984828</v>
      </c>
      <c r="BG90">
        <v>-0.19096471000000001</v>
      </c>
      <c r="BH90">
        <v>0.19331159000000001</v>
      </c>
      <c r="BI90">
        <v>-0.19481826999999999</v>
      </c>
      <c r="BJ90">
        <v>-0.25937336999999999</v>
      </c>
      <c r="BK90">
        <v>0.10327546</v>
      </c>
      <c r="BL90">
        <v>-3.7019376E-3</v>
      </c>
      <c r="BM90">
        <v>-6.1981649999999999E-2</v>
      </c>
      <c r="BN90">
        <v>-9.1151570000000001E-2</v>
      </c>
      <c r="BO90">
        <v>0.12446043</v>
      </c>
      <c r="BP90">
        <v>0.17681337999999999</v>
      </c>
      <c r="BQ90">
        <v>-1.7074054000000002E-2</v>
      </c>
      <c r="BR90">
        <v>0.21302862</v>
      </c>
      <c r="BS90">
        <v>0.15815383</v>
      </c>
      <c r="BT90">
        <v>-0.19880587</v>
      </c>
      <c r="BU90">
        <v>-4.6191879999999998E-3</v>
      </c>
      <c r="BV90">
        <v>-2.7304636E-2</v>
      </c>
      <c r="BW90">
        <v>-0.1261835</v>
      </c>
      <c r="BX90">
        <v>-0.27597007000000001</v>
      </c>
      <c r="BY90">
        <v>0.1637864</v>
      </c>
      <c r="BZ90">
        <v>-0.31875969999999998</v>
      </c>
      <c r="CA90">
        <v>-0.21939172000000001</v>
      </c>
      <c r="CB90">
        <v>0.11041888599999999</v>
      </c>
      <c r="CC90">
        <v>0.19289142000000001</v>
      </c>
      <c r="CD90">
        <v>-2.1295939E-2</v>
      </c>
      <c r="CE90">
        <v>0.21054407999999999</v>
      </c>
      <c r="CF90">
        <v>6.4772650000000001E-2</v>
      </c>
      <c r="CG90">
        <v>0.13023198999999999</v>
      </c>
      <c r="CH90">
        <v>-6.7316404999999996E-2</v>
      </c>
      <c r="CI90">
        <v>3.3031136000000001E-3</v>
      </c>
      <c r="CJ90">
        <v>0.14613903</v>
      </c>
      <c r="CK90">
        <v>-0.11653371999999999</v>
      </c>
      <c r="CL90">
        <v>4.8080258000000001E-2</v>
      </c>
      <c r="CM90">
        <v>0.14566544000000001</v>
      </c>
      <c r="CN90">
        <v>-0.35264814</v>
      </c>
      <c r="CO90">
        <v>-0.107898355</v>
      </c>
      <c r="CP90">
        <v>1.7935675000000002E-2</v>
      </c>
      <c r="CQ90">
        <v>9.1354080000000004E-2</v>
      </c>
      <c r="CR90">
        <v>0.10569031</v>
      </c>
      <c r="CS90">
        <v>-0.11884836</v>
      </c>
      <c r="CT90">
        <v>-0.53057383999999996</v>
      </c>
      <c r="CU90">
        <v>8.3274535999999996E-2</v>
      </c>
      <c r="CV90">
        <v>-1.0735134E-2</v>
      </c>
      <c r="CW90">
        <v>-0.15494675999999999</v>
      </c>
      <c r="CX90">
        <v>0.19240399999999999</v>
      </c>
      <c r="CY90">
        <v>0.19997586000000001</v>
      </c>
      <c r="CZ90">
        <v>-0.30927909999999997</v>
      </c>
      <c r="DA90">
        <v>-8.0940559999999995E-2</v>
      </c>
      <c r="DB90">
        <v>0.41219538</v>
      </c>
      <c r="DC90">
        <v>3.1663533000000001E-2</v>
      </c>
      <c r="DD90">
        <v>-0.14297678999999999</v>
      </c>
      <c r="DE90">
        <v>-9.2853660000000005E-2</v>
      </c>
      <c r="DF90">
        <v>0.19677141000000001</v>
      </c>
      <c r="DG90">
        <v>3.5280923999999998E-2</v>
      </c>
      <c r="DH90">
        <v>-0.12290986600000001</v>
      </c>
      <c r="DI90">
        <v>6.2842736999999997E-3</v>
      </c>
      <c r="DJ90">
        <v>4.6977001999999997E-2</v>
      </c>
      <c r="DK90">
        <v>-8.7791900000000006E-2</v>
      </c>
      <c r="DL90">
        <v>4.0010037000000002E-3</v>
      </c>
      <c r="DM90">
        <v>3.7002093999999999E-2</v>
      </c>
      <c r="DN90">
        <v>-0.31289549999999999</v>
      </c>
      <c r="DO90">
        <v>-3.0573191E-2</v>
      </c>
      <c r="DP90">
        <v>0.11531319499999999</v>
      </c>
      <c r="DQ90">
        <v>4.6359382999999997E-2</v>
      </c>
      <c r="DR90">
        <v>0.37125474000000003</v>
      </c>
      <c r="DS90">
        <v>2.3448968000000001E-2</v>
      </c>
      <c r="DT90">
        <v>-0.10383069</v>
      </c>
      <c r="DU90">
        <v>-0.15616496999999999</v>
      </c>
      <c r="DV90">
        <v>7.9598619999999995E-2</v>
      </c>
      <c r="DW90">
        <v>0.19055805000000001</v>
      </c>
      <c r="DX90">
        <v>0.15226169000000001</v>
      </c>
      <c r="DY90">
        <v>0.29772407000000001</v>
      </c>
      <c r="DZ90">
        <v>-0.1145333</v>
      </c>
    </row>
    <row r="91" spans="1:130" x14ac:dyDescent="0.3">
      <c r="A91">
        <f>Board!$E$9</f>
        <v>0</v>
      </c>
      <c r="C91">
        <v>-0.13860887</v>
      </c>
      <c r="D91">
        <v>-7.3965059999999999E-2</v>
      </c>
      <c r="E91">
        <v>0.21118131000000001</v>
      </c>
      <c r="F91">
        <v>-0.26931924000000002</v>
      </c>
      <c r="G91">
        <v>-0.21422853</v>
      </c>
      <c r="H91">
        <v>6.8735649999999999E-3</v>
      </c>
      <c r="I91">
        <v>-6.2957849999999996E-2</v>
      </c>
      <c r="J91">
        <v>-0.28723225000000002</v>
      </c>
      <c r="K91">
        <v>8.7655689999999994E-2</v>
      </c>
      <c r="L91">
        <v>-0.72770999999999997</v>
      </c>
      <c r="M91">
        <v>-0.32596229999999998</v>
      </c>
      <c r="N91">
        <v>5.0859540000000002E-2</v>
      </c>
      <c r="O91">
        <v>-0.18226244999999999</v>
      </c>
      <c r="P91">
        <v>-0.107214615</v>
      </c>
      <c r="Q91">
        <v>0.23273753999999999</v>
      </c>
      <c r="R91">
        <v>-7.2868150000000007E-2</v>
      </c>
      <c r="S91">
        <v>-0.19007342999999999</v>
      </c>
      <c r="T91">
        <v>-0.10549378</v>
      </c>
      <c r="U91">
        <v>-7.0630044000000003E-2</v>
      </c>
      <c r="V91">
        <v>0.1103756</v>
      </c>
      <c r="W91">
        <v>-0.1538186</v>
      </c>
      <c r="X91">
        <v>0.20700213000000001</v>
      </c>
      <c r="Y91">
        <v>-0.16950038000000001</v>
      </c>
      <c r="Z91">
        <v>-0.104491815</v>
      </c>
      <c r="AA91">
        <v>-0.40767621999999998</v>
      </c>
      <c r="AB91">
        <v>0.111284666</v>
      </c>
      <c r="AC91">
        <v>-8.0960169999999998E-2</v>
      </c>
      <c r="AD91">
        <v>-6.6015880000000002E-3</v>
      </c>
      <c r="AE91">
        <v>-4.484701E-2</v>
      </c>
      <c r="AF91">
        <v>3.4817470000000003E-2</v>
      </c>
      <c r="AG91">
        <v>0.21333915000000001</v>
      </c>
      <c r="AH91">
        <v>-0.13535108000000001</v>
      </c>
      <c r="AI91">
        <v>0.20618744</v>
      </c>
      <c r="AJ91">
        <v>-0.42110753000000001</v>
      </c>
      <c r="AK91">
        <v>0.27927348000000002</v>
      </c>
      <c r="AL91">
        <v>-0.38615329999999998</v>
      </c>
      <c r="AM91">
        <v>7.6004619999999995E-2</v>
      </c>
      <c r="AN91">
        <v>3.0743241000000001E-2</v>
      </c>
      <c r="AO91">
        <v>-9.5054550000000002E-2</v>
      </c>
      <c r="AP91">
        <v>-0.14309588000000001</v>
      </c>
      <c r="AQ91">
        <v>-0.13171379999999999</v>
      </c>
      <c r="AR91">
        <v>-0.12912715999999999</v>
      </c>
      <c r="AS91">
        <v>0.22200404000000001</v>
      </c>
      <c r="AT91">
        <v>-0.12018982</v>
      </c>
      <c r="AU91">
        <v>-2.7000555000000001E-5</v>
      </c>
      <c r="AV91">
        <v>-3.6954257999999997E-2</v>
      </c>
      <c r="AW91">
        <v>4.6016692999999997E-2</v>
      </c>
      <c r="AX91">
        <v>-0.31276983000000003</v>
      </c>
      <c r="AY91">
        <v>0.116440825</v>
      </c>
      <c r="AZ91">
        <v>-7.9994469999999998E-2</v>
      </c>
      <c r="BA91">
        <v>-0.24508531</v>
      </c>
      <c r="BB91">
        <v>2.9539537000000001E-2</v>
      </c>
      <c r="BC91">
        <v>7.6282724999999996E-2</v>
      </c>
      <c r="BD91">
        <v>0.23281557999999999</v>
      </c>
      <c r="BE91">
        <v>-4.567102E-2</v>
      </c>
      <c r="BF91">
        <v>-0.37366547999999999</v>
      </c>
      <c r="BG91">
        <v>-0.22118024999999999</v>
      </c>
      <c r="BH91">
        <v>5.5351134000000003E-2</v>
      </c>
      <c r="BI91">
        <v>7.2304850000000004E-2</v>
      </c>
      <c r="BJ91">
        <v>-0.14821048000000001</v>
      </c>
      <c r="BK91">
        <v>-9.3824749999999998E-2</v>
      </c>
      <c r="BL91">
        <v>7.0079820000000001E-2</v>
      </c>
      <c r="BM91">
        <v>-0.22881459000000001</v>
      </c>
      <c r="BN91">
        <v>-0.1470931</v>
      </c>
      <c r="BO91">
        <v>9.7662554999999995E-3</v>
      </c>
      <c r="BP91">
        <v>1.0813240999999999E-2</v>
      </c>
      <c r="BQ91">
        <v>1.2952027E-2</v>
      </c>
      <c r="BR91">
        <v>0.13141438</v>
      </c>
      <c r="BS91">
        <v>0.3013342</v>
      </c>
      <c r="BT91">
        <v>-4.9765147000000003E-3</v>
      </c>
      <c r="BU91">
        <v>-5.157105E-2</v>
      </c>
      <c r="BV91">
        <v>0.22259097999999999</v>
      </c>
      <c r="BW91">
        <v>0.15037507999999999</v>
      </c>
      <c r="BX91">
        <v>-4.3503433000000001E-2</v>
      </c>
      <c r="BY91">
        <v>4.7813899999999999E-2</v>
      </c>
      <c r="BZ91">
        <v>-0.111426294</v>
      </c>
      <c r="CA91">
        <v>-0.11152459000000001</v>
      </c>
      <c r="CB91">
        <v>0.105772965</v>
      </c>
      <c r="CC91">
        <v>2.4723078999999999E-2</v>
      </c>
      <c r="CD91">
        <v>6.5211839999999993E-2</v>
      </c>
      <c r="CE91">
        <v>3.2812121999999999E-2</v>
      </c>
      <c r="CF91">
        <v>2.1283342E-2</v>
      </c>
      <c r="CG91">
        <v>-0.18681574000000001</v>
      </c>
      <c r="CH91">
        <v>-0.42333788</v>
      </c>
      <c r="CI91">
        <v>0.10927383</v>
      </c>
      <c r="CJ91">
        <v>3.6812144999999998E-2</v>
      </c>
      <c r="CK91">
        <v>0.18103685999999999</v>
      </c>
      <c r="CL91">
        <v>-0.19136457000000001</v>
      </c>
      <c r="CM91">
        <v>0.22300265999999999</v>
      </c>
      <c r="CN91">
        <v>-0.1122234</v>
      </c>
      <c r="CO91">
        <v>4.7657285000000001E-2</v>
      </c>
      <c r="CP91">
        <v>-8.4510639999999995E-3</v>
      </c>
      <c r="CQ91">
        <v>0.25856674000000002</v>
      </c>
      <c r="CR91">
        <v>0.11381963</v>
      </c>
      <c r="CS91">
        <v>-7.9600649999999995E-2</v>
      </c>
      <c r="CT91">
        <v>-0.67358905000000002</v>
      </c>
      <c r="CU91">
        <v>-4.6858772999999999E-2</v>
      </c>
      <c r="CV91">
        <v>1.9389903E-2</v>
      </c>
      <c r="CW91">
        <v>1.6276611999999999E-3</v>
      </c>
      <c r="CX91">
        <v>-4.4807319999999998E-2</v>
      </c>
      <c r="CY91">
        <v>0.47385021999999999</v>
      </c>
      <c r="CZ91">
        <v>-9.9667900000000004E-2</v>
      </c>
      <c r="DA91">
        <v>9.6366859999999999E-2</v>
      </c>
      <c r="DB91">
        <v>3.6358504999999999E-2</v>
      </c>
      <c r="DC91">
        <v>-0.13586189000000001</v>
      </c>
      <c r="DD91">
        <v>-0.14515832000000001</v>
      </c>
      <c r="DE91">
        <v>-0.25378054</v>
      </c>
      <c r="DF91">
        <v>6.9104159999999998E-2</v>
      </c>
      <c r="DG91">
        <v>4.4132146999999997E-2</v>
      </c>
      <c r="DH91">
        <v>2.1252873999999999E-4</v>
      </c>
      <c r="DI91">
        <v>0.100623555</v>
      </c>
      <c r="DJ91">
        <v>0.39114844999999998</v>
      </c>
      <c r="DK91">
        <v>-0.18663542999999999</v>
      </c>
      <c r="DL91">
        <v>5.2739995999999999E-3</v>
      </c>
      <c r="DM91">
        <v>2.2541462000000002E-2</v>
      </c>
      <c r="DN91">
        <v>2.7674648999999999E-2</v>
      </c>
      <c r="DO91">
        <v>0.21893981000000001</v>
      </c>
      <c r="DP91">
        <v>0.21719802999999999</v>
      </c>
      <c r="DQ91">
        <v>6.4459580000000002E-2</v>
      </c>
      <c r="DR91">
        <v>0.36474003999999999</v>
      </c>
      <c r="DS91">
        <v>3.8689732999999997E-2</v>
      </c>
      <c r="DT91">
        <v>-0.12803465</v>
      </c>
      <c r="DU91">
        <v>6.5854889999999999E-2</v>
      </c>
      <c r="DV91">
        <v>-8.7317839999999994E-2</v>
      </c>
      <c r="DW91">
        <v>0.12015908</v>
      </c>
      <c r="DX91">
        <v>0.18111192000000001</v>
      </c>
      <c r="DY91">
        <v>0.29029638000000002</v>
      </c>
      <c r="DZ91">
        <v>-1.7656651000000001E-3</v>
      </c>
    </row>
    <row r="92" spans="1:130" x14ac:dyDescent="0.3">
      <c r="A92">
        <f>Board!$F$9</f>
        <v>0</v>
      </c>
      <c r="C92">
        <v>8.7672789999999994E-3</v>
      </c>
      <c r="D92">
        <v>6.6033679999999997E-2</v>
      </c>
      <c r="E92">
        <v>0.12136093000000001</v>
      </c>
      <c r="F92">
        <v>-0.40140477000000002</v>
      </c>
      <c r="G92">
        <v>3.6281787000000003E-2</v>
      </c>
      <c r="H92">
        <v>0.16671184999999999</v>
      </c>
      <c r="I92">
        <v>-5.2966449999999998E-2</v>
      </c>
      <c r="J92">
        <v>-0.17279406</v>
      </c>
      <c r="K92">
        <v>6.5364619999999998E-2</v>
      </c>
      <c r="L92">
        <v>-0.60679822999999999</v>
      </c>
      <c r="M92">
        <v>-0.24884695000000001</v>
      </c>
      <c r="N92">
        <v>9.1018689999999999E-2</v>
      </c>
      <c r="O92">
        <v>-0.16819735</v>
      </c>
      <c r="P92">
        <v>-0.12216133999999999</v>
      </c>
      <c r="Q92">
        <v>0.26961106000000001</v>
      </c>
      <c r="R92">
        <v>0.27069043999999998</v>
      </c>
      <c r="S92">
        <v>-2.9526371999999999E-2</v>
      </c>
      <c r="T92">
        <v>1.1656107000000001E-2</v>
      </c>
      <c r="U92">
        <v>-7.2208590000000003E-2</v>
      </c>
      <c r="V92">
        <v>3.4484476E-2</v>
      </c>
      <c r="W92">
        <v>-0.17009864999999999</v>
      </c>
      <c r="X92">
        <v>-7.9551839999999999E-2</v>
      </c>
      <c r="Y92">
        <v>-8.9009926000000003E-2</v>
      </c>
      <c r="Z92">
        <v>0.13475773999999999</v>
      </c>
      <c r="AA92">
        <v>-0.48444417000000001</v>
      </c>
      <c r="AB92">
        <v>-0.13651219000000001</v>
      </c>
      <c r="AC92">
        <v>4.8422550000000002E-2</v>
      </c>
      <c r="AD92">
        <v>-4.0115215999999999E-3</v>
      </c>
      <c r="AE92">
        <v>9.9060949999999995E-2</v>
      </c>
      <c r="AF92">
        <v>0.13372065</v>
      </c>
      <c r="AG92">
        <v>7.1074069999999996E-3</v>
      </c>
      <c r="AH92">
        <v>-0.12271558</v>
      </c>
      <c r="AI92">
        <v>7.5942190000000007E-2</v>
      </c>
      <c r="AJ92">
        <v>-0.27875957000000001</v>
      </c>
      <c r="AK92">
        <v>0.21822417</v>
      </c>
      <c r="AL92">
        <v>4.283795E-2</v>
      </c>
      <c r="AM92">
        <v>0.11350112</v>
      </c>
      <c r="AN92">
        <v>-0.13007787000000001</v>
      </c>
      <c r="AO92">
        <v>-5.3692480000000001E-2</v>
      </c>
      <c r="AP92">
        <v>-0.30470607</v>
      </c>
      <c r="AQ92">
        <v>0.25288500000000003</v>
      </c>
      <c r="AR92">
        <v>-0.1079502</v>
      </c>
      <c r="AS92">
        <v>-2.3435125000000001E-2</v>
      </c>
      <c r="AT92">
        <v>0.11756865</v>
      </c>
      <c r="AU92">
        <v>0.18993893000000001</v>
      </c>
      <c r="AV92">
        <v>1.8532224E-3</v>
      </c>
      <c r="AW92">
        <v>-6.7557565999999999E-2</v>
      </c>
      <c r="AX92">
        <v>-6.2250350000000003E-2</v>
      </c>
      <c r="AY92">
        <v>0.18578738</v>
      </c>
      <c r="AZ92">
        <v>0.107778005</v>
      </c>
      <c r="BA92">
        <v>-8.3837430000000004E-2</v>
      </c>
      <c r="BB92">
        <v>-3.7750806999999997E-2</v>
      </c>
      <c r="BC92">
        <v>0.31579309999999999</v>
      </c>
      <c r="BD92">
        <v>0.41478816000000002</v>
      </c>
      <c r="BE92">
        <v>-0.12278457</v>
      </c>
      <c r="BF92">
        <v>-0.26649168000000001</v>
      </c>
      <c r="BG92">
        <v>-0.38275152000000001</v>
      </c>
      <c r="BH92">
        <v>9.4041936000000007E-2</v>
      </c>
      <c r="BI92">
        <v>-0.12855886999999999</v>
      </c>
      <c r="BJ92">
        <v>1.6173981E-3</v>
      </c>
      <c r="BK92">
        <v>-0.12286921000000001</v>
      </c>
      <c r="BL92">
        <v>8.3002800000000002E-2</v>
      </c>
      <c r="BM92">
        <v>-0.23195906999999999</v>
      </c>
      <c r="BN92">
        <v>-0.15879815999999999</v>
      </c>
      <c r="BO92">
        <v>-0.20866375000000001</v>
      </c>
      <c r="BP92">
        <v>-0.11591579</v>
      </c>
      <c r="BQ92">
        <v>0.120528065</v>
      </c>
      <c r="BR92">
        <v>-1.6297250999999999E-2</v>
      </c>
      <c r="BS92">
        <v>6.4652234000000003E-2</v>
      </c>
      <c r="BT92">
        <v>-0.15816226999999999</v>
      </c>
      <c r="BU92">
        <v>8.5264210000000007E-2</v>
      </c>
      <c r="BV92">
        <v>-6.6441714999999998E-2</v>
      </c>
      <c r="BW92">
        <v>0.31090804999999999</v>
      </c>
      <c r="BX92">
        <v>0.19306323</v>
      </c>
      <c r="BY92">
        <v>7.405581E-2</v>
      </c>
      <c r="BZ92">
        <v>0.12560117000000001</v>
      </c>
      <c r="CA92">
        <v>-1.8085843000000001E-2</v>
      </c>
      <c r="CB92">
        <v>7.9022065000000002E-2</v>
      </c>
      <c r="CC92">
        <v>-4.4451863000000001E-2</v>
      </c>
      <c r="CD92">
        <v>-3.9561335000000003E-2</v>
      </c>
      <c r="CE92">
        <v>1.7061539000000001E-2</v>
      </c>
      <c r="CF92">
        <v>2.7731507999999998E-2</v>
      </c>
      <c r="CG92">
        <v>-0.21084480999999999</v>
      </c>
      <c r="CH92">
        <v>-8.6756654000000002E-2</v>
      </c>
      <c r="CI92">
        <v>-0.1848284</v>
      </c>
      <c r="CJ92">
        <v>-0.1863744</v>
      </c>
      <c r="CK92">
        <v>0.12419748</v>
      </c>
      <c r="CL92">
        <v>-0.22309788</v>
      </c>
      <c r="CM92">
        <v>1.3303254E-2</v>
      </c>
      <c r="CN92">
        <v>-0.14424408999999999</v>
      </c>
      <c r="CO92">
        <v>0.13810895000000001</v>
      </c>
      <c r="CP92">
        <v>-0.10571292</v>
      </c>
      <c r="CQ92">
        <v>-6.9570170000000001E-2</v>
      </c>
      <c r="CR92">
        <v>0.27746834999999997</v>
      </c>
      <c r="CS92">
        <v>-6.3231159999999995E-2</v>
      </c>
      <c r="CT92">
        <v>-0.11177173999999999</v>
      </c>
      <c r="CU92">
        <v>-0.21122579999999999</v>
      </c>
      <c r="CV92">
        <v>0.18646873999999999</v>
      </c>
      <c r="CW92">
        <v>0.21307536999999999</v>
      </c>
      <c r="CX92">
        <v>-5.0429045999999998E-2</v>
      </c>
      <c r="CY92">
        <v>0.50977430000000001</v>
      </c>
      <c r="CZ92">
        <v>-7.7030933999999995E-2</v>
      </c>
      <c r="DA92">
        <v>0.10204051</v>
      </c>
      <c r="DB92">
        <v>-2.9290093E-2</v>
      </c>
      <c r="DC92">
        <v>-6.5942760000000003E-2</v>
      </c>
      <c r="DD92">
        <v>8.5260849999999999E-2</v>
      </c>
      <c r="DE92">
        <v>-0.64132140000000004</v>
      </c>
      <c r="DF92">
        <v>-8.1947130000000007E-2</v>
      </c>
      <c r="DG92">
        <v>-1.6124591000000001E-2</v>
      </c>
      <c r="DH92">
        <v>0.34429756</v>
      </c>
      <c r="DI92">
        <v>8.4686979999999995E-2</v>
      </c>
      <c r="DJ92">
        <v>7.7924475000000007E-2</v>
      </c>
      <c r="DK92">
        <v>-9.2784350000000002E-2</v>
      </c>
      <c r="DL92">
        <v>0.13493495999999999</v>
      </c>
      <c r="DM92">
        <v>0.15426189000000001</v>
      </c>
      <c r="DN92">
        <v>0.1965295</v>
      </c>
      <c r="DO92">
        <v>0.20545894000000001</v>
      </c>
      <c r="DP92">
        <v>0.30244702000000001</v>
      </c>
      <c r="DQ92">
        <v>-0.13558221000000001</v>
      </c>
      <c r="DR92">
        <v>0.36797785999999999</v>
      </c>
      <c r="DS92">
        <v>-9.7930220000000002E-3</v>
      </c>
      <c r="DT92">
        <v>-1.7097938999999999E-2</v>
      </c>
      <c r="DU92">
        <v>1.6857400000000002E-2</v>
      </c>
      <c r="DV92">
        <v>4.0205277999999997E-2</v>
      </c>
      <c r="DW92">
        <v>6.4080330000000005E-2</v>
      </c>
      <c r="DX92">
        <v>0.28269084999999999</v>
      </c>
      <c r="DY92">
        <v>5.3567610000000002E-2</v>
      </c>
      <c r="DZ92">
        <v>-0.36562233999999999</v>
      </c>
    </row>
    <row r="93" spans="1:130" x14ac:dyDescent="0.3">
      <c r="A93">
        <f>Board!$G$9</f>
        <v>0</v>
      </c>
      <c r="C93">
        <v>-0.18048876999999999</v>
      </c>
      <c r="D93">
        <v>0.22880359</v>
      </c>
      <c r="E93">
        <v>-5.4945662999999999E-2</v>
      </c>
      <c r="F93">
        <v>-3.861368E-3</v>
      </c>
      <c r="G93">
        <v>-9.3822113999999998E-2</v>
      </c>
      <c r="H93">
        <v>-8.214349E-2</v>
      </c>
      <c r="I93">
        <v>-1.8789124000000001E-2</v>
      </c>
      <c r="J93">
        <v>1.3684468E-2</v>
      </c>
      <c r="K93">
        <v>0.15127091000000001</v>
      </c>
      <c r="L93">
        <v>-0.25631147999999998</v>
      </c>
      <c r="M93">
        <v>-8.8892243999999995E-2</v>
      </c>
      <c r="N93">
        <v>-8.7800199999999995E-2</v>
      </c>
      <c r="O93">
        <v>-7.1306764999999994E-2</v>
      </c>
      <c r="P93">
        <v>-9.350899E-2</v>
      </c>
      <c r="Q93">
        <v>0.18480063999999999</v>
      </c>
      <c r="R93">
        <v>0.19068110999999999</v>
      </c>
      <c r="S93">
        <v>-1.6609776999999999E-2</v>
      </c>
      <c r="T93">
        <v>-2.7318759000000001E-2</v>
      </c>
      <c r="U93">
        <v>-0.26235120000000001</v>
      </c>
      <c r="V93">
        <v>-0.12369956</v>
      </c>
      <c r="W93">
        <v>-3.3566084000000003E-2</v>
      </c>
      <c r="X93">
        <v>5.8782630000000002E-2</v>
      </c>
      <c r="Y93">
        <v>9.7412579999999992E-3</v>
      </c>
      <c r="Z93">
        <v>-9.4719133999999996E-2</v>
      </c>
      <c r="AA93">
        <v>-0.29078153000000001</v>
      </c>
      <c r="AB93">
        <v>0.27490049999999999</v>
      </c>
      <c r="AC93">
        <v>5.1527940000000001E-2</v>
      </c>
      <c r="AD93">
        <v>0.35778615000000002</v>
      </c>
      <c r="AE93">
        <v>3.1846285000000002E-2</v>
      </c>
      <c r="AF93">
        <v>-3.2201016000000002E-3</v>
      </c>
      <c r="AG93">
        <v>-0.16529099999999999</v>
      </c>
      <c r="AH93">
        <v>-2.4484491000000001E-2</v>
      </c>
      <c r="AI93">
        <v>-2.5266396E-2</v>
      </c>
      <c r="AJ93">
        <v>-7.1254349999999994E-2</v>
      </c>
      <c r="AK93">
        <v>7.0153900000000005E-2</v>
      </c>
      <c r="AL93">
        <v>0.16081809</v>
      </c>
      <c r="AM93">
        <v>-7.5734389999999999E-2</v>
      </c>
      <c r="AN93">
        <v>2.325427E-2</v>
      </c>
      <c r="AO93">
        <v>0.14904576999999999</v>
      </c>
      <c r="AP93">
        <v>-0.22307171000000001</v>
      </c>
      <c r="AQ93">
        <v>-0.1603504</v>
      </c>
      <c r="AR93">
        <v>2.8958230000000001E-2</v>
      </c>
      <c r="AS93">
        <v>4.4672127999999998E-2</v>
      </c>
      <c r="AT93">
        <v>6.0237069999999997E-2</v>
      </c>
      <c r="AU93">
        <v>0.23777292999999999</v>
      </c>
      <c r="AV93">
        <v>0.14618702</v>
      </c>
      <c r="AW93">
        <v>-0.24754585000000001</v>
      </c>
      <c r="AX93">
        <v>0.34404272000000002</v>
      </c>
      <c r="AY93">
        <v>0.24505584</v>
      </c>
      <c r="AZ93">
        <v>-0.18055773</v>
      </c>
      <c r="BA93">
        <v>0.23944463999999999</v>
      </c>
      <c r="BB93">
        <v>-0.114716135</v>
      </c>
      <c r="BC93">
        <v>-0.10287813</v>
      </c>
      <c r="BD93">
        <v>-8.3265774000000001E-2</v>
      </c>
      <c r="BE93">
        <v>8.6151479999999996E-3</v>
      </c>
      <c r="BF93">
        <v>7.1003150000000001E-2</v>
      </c>
      <c r="BG93">
        <v>-0.46233574</v>
      </c>
      <c r="BH93">
        <v>6.5269809999999998E-2</v>
      </c>
      <c r="BI93">
        <v>1.8269647E-2</v>
      </c>
      <c r="BJ93">
        <v>4.0673357E-2</v>
      </c>
      <c r="BK93">
        <v>-0.25451192</v>
      </c>
      <c r="BL93">
        <v>-1.4894393000000001E-2</v>
      </c>
      <c r="BM93">
        <v>-7.13366E-2</v>
      </c>
      <c r="BN93">
        <v>-0.1756084</v>
      </c>
      <c r="BO93">
        <v>-0.11939412000000001</v>
      </c>
      <c r="BP93">
        <v>-0.10705720000000001</v>
      </c>
      <c r="BQ93">
        <v>0.13095528000000001</v>
      </c>
      <c r="BR93">
        <v>-1.3513644E-3</v>
      </c>
      <c r="BS93">
        <v>6.5354205999999998E-2</v>
      </c>
      <c r="BT93">
        <v>-0.17604433999999999</v>
      </c>
      <c r="BU93">
        <v>4.6578173E-2</v>
      </c>
      <c r="BV93">
        <v>-0.30751879999999998</v>
      </c>
      <c r="BW93">
        <v>0.17062305</v>
      </c>
      <c r="BX93">
        <v>-1.4907092E-2</v>
      </c>
      <c r="BY93">
        <v>-5.2749530000000003E-2</v>
      </c>
      <c r="BZ93">
        <v>7.1579315000000004E-2</v>
      </c>
      <c r="CA93">
        <v>0.26677003999999999</v>
      </c>
      <c r="CB93">
        <v>9.6415415000000004E-2</v>
      </c>
      <c r="CC93">
        <v>-7.6577080000000006E-2</v>
      </c>
      <c r="CD93">
        <v>2.6896995E-2</v>
      </c>
      <c r="CE93">
        <v>0.26247137999999998</v>
      </c>
      <c r="CF93">
        <v>8.5644916000000001E-2</v>
      </c>
      <c r="CG93">
        <v>-3.6213352999999997E-2</v>
      </c>
      <c r="CH93">
        <v>0.12533827</v>
      </c>
      <c r="CI93">
        <v>-1.8062235999999999E-2</v>
      </c>
      <c r="CJ93">
        <v>0.11704618</v>
      </c>
      <c r="CK93">
        <v>9.2792689999999997E-2</v>
      </c>
      <c r="CL93">
        <v>-0.32782410000000001</v>
      </c>
      <c r="CM93">
        <v>-5.0323907000000001E-2</v>
      </c>
      <c r="CN93">
        <v>-0.28973450000000001</v>
      </c>
      <c r="CO93">
        <v>8.0453239999999995E-2</v>
      </c>
      <c r="CP93">
        <v>-0.25132576000000001</v>
      </c>
      <c r="CQ93">
        <v>-1.1633024E-2</v>
      </c>
      <c r="CR93">
        <v>0.21651416000000001</v>
      </c>
      <c r="CS93">
        <v>-0.11218136500000001</v>
      </c>
      <c r="CT93">
        <v>-3.3254082999999997E-2</v>
      </c>
      <c r="CU93">
        <v>-6.4307160000000002E-2</v>
      </c>
      <c r="CV93">
        <v>-8.5758829999999994E-3</v>
      </c>
      <c r="CW93">
        <v>0.33210223999999999</v>
      </c>
      <c r="CX93">
        <v>0.18543606000000001</v>
      </c>
      <c r="CY93">
        <v>0.26543446999999998</v>
      </c>
      <c r="CZ93">
        <v>0.14867543999999999</v>
      </c>
      <c r="DA93">
        <v>2.3246372000000001E-2</v>
      </c>
      <c r="DB93">
        <v>2.5550267E-3</v>
      </c>
      <c r="DC93">
        <v>0.12492903</v>
      </c>
      <c r="DD93">
        <v>0.12701999</v>
      </c>
      <c r="DE93">
        <v>-0.42190917999999999</v>
      </c>
      <c r="DF93">
        <v>-0.20946181</v>
      </c>
      <c r="DG93">
        <v>0.13487309</v>
      </c>
      <c r="DH93">
        <v>-1.2447991E-2</v>
      </c>
      <c r="DI93">
        <v>-0.18950259999999999</v>
      </c>
      <c r="DJ93">
        <v>-0.28548410000000002</v>
      </c>
      <c r="DK93">
        <v>-0.16204800999999999</v>
      </c>
      <c r="DL93">
        <v>-1.8335532000000002E-2</v>
      </c>
      <c r="DM93">
        <v>-0.1161761</v>
      </c>
      <c r="DN93">
        <v>2.7687103000000001E-2</v>
      </c>
      <c r="DO93">
        <v>0.25752120000000001</v>
      </c>
      <c r="DP93">
        <v>0.16801374999999999</v>
      </c>
      <c r="DQ93">
        <v>5.2481851999999999E-3</v>
      </c>
      <c r="DR93">
        <v>0.33860837999999999</v>
      </c>
      <c r="DS93">
        <v>-0.16320135</v>
      </c>
      <c r="DT93">
        <v>0.24876548000000001</v>
      </c>
      <c r="DU93">
        <v>0.26438381999999999</v>
      </c>
      <c r="DV93">
        <v>1.8104083999999999E-2</v>
      </c>
      <c r="DW93">
        <v>8.7180799999999996E-3</v>
      </c>
      <c r="DX93">
        <v>0.18664291999999999</v>
      </c>
      <c r="DY93">
        <v>-0.22828759000000001</v>
      </c>
      <c r="DZ93">
        <v>-0.19260208000000001</v>
      </c>
    </row>
    <row r="94" spans="1:130" x14ac:dyDescent="0.3">
      <c r="A94">
        <f>Board!$H$9</f>
        <v>1</v>
      </c>
      <c r="C94">
        <v>-8.8927999999999993E-2</v>
      </c>
      <c r="D94">
        <v>7.1415960000000001E-2</v>
      </c>
      <c r="E94">
        <v>0.11531754</v>
      </c>
      <c r="F94">
        <v>0.33843800000000002</v>
      </c>
      <c r="G94">
        <v>-9.6919686000000005E-2</v>
      </c>
      <c r="H94">
        <v>-0.21071602</v>
      </c>
      <c r="I94">
        <v>-0.21134774000000001</v>
      </c>
      <c r="J94">
        <v>1.5449804E-3</v>
      </c>
      <c r="K94">
        <v>4.5317101999999998E-2</v>
      </c>
      <c r="L94">
        <v>9.9358565999999995E-2</v>
      </c>
      <c r="M94">
        <v>1.6270674999999998E-2</v>
      </c>
      <c r="N94">
        <v>-5.4117087000000001E-2</v>
      </c>
      <c r="O94">
        <v>0.11781198499999999</v>
      </c>
      <c r="P94">
        <v>4.8694340000000003E-2</v>
      </c>
      <c r="Q94">
        <v>-2.2284445999999999E-2</v>
      </c>
      <c r="R94">
        <v>-2.5834989999999999E-2</v>
      </c>
      <c r="S94">
        <v>5.1351609999999999E-2</v>
      </c>
      <c r="T94">
        <v>-0.15411005999999999</v>
      </c>
      <c r="U94">
        <v>0.104590714</v>
      </c>
      <c r="V94">
        <v>-0.36934122000000003</v>
      </c>
      <c r="W94">
        <v>-2.7303806999999999E-2</v>
      </c>
      <c r="X94">
        <v>2.8087059000000001E-2</v>
      </c>
      <c r="Y94">
        <v>-0.40883955</v>
      </c>
      <c r="Z94">
        <v>-0.20624134</v>
      </c>
      <c r="AA94">
        <v>3.8218647000000001E-2</v>
      </c>
      <c r="AB94">
        <v>0.18380766000000001</v>
      </c>
      <c r="AC94">
        <v>0.16027002000000001</v>
      </c>
      <c r="AD94">
        <v>0.18096690000000001</v>
      </c>
      <c r="AE94">
        <v>7.878636E-2</v>
      </c>
      <c r="AF94">
        <v>-6.9015919999999994E-2</v>
      </c>
      <c r="AG94">
        <v>0.21755206999999999</v>
      </c>
      <c r="AH94">
        <v>0.29896395999999997</v>
      </c>
      <c r="AI94">
        <v>-4.1184597000000003E-2</v>
      </c>
      <c r="AJ94">
        <v>-4.7785979999999999E-2</v>
      </c>
      <c r="AK94">
        <v>4.7547497000000001E-2</v>
      </c>
      <c r="AL94">
        <v>0.15014369999999999</v>
      </c>
      <c r="AM94">
        <v>-9.9517590000000003E-2</v>
      </c>
      <c r="AN94">
        <v>0.13667318000000001</v>
      </c>
      <c r="AO94">
        <v>1.3685236E-2</v>
      </c>
      <c r="AP94">
        <v>-0.10621747400000001</v>
      </c>
      <c r="AQ94">
        <v>-0.1873272</v>
      </c>
      <c r="AR94">
        <v>0.12748206000000001</v>
      </c>
      <c r="AS94">
        <v>0.17892580999999999</v>
      </c>
      <c r="AT94">
        <v>-0.13301948</v>
      </c>
      <c r="AU94">
        <v>-0.40117973000000001</v>
      </c>
      <c r="AV94">
        <v>3.6757860000000003E-2</v>
      </c>
      <c r="AW94">
        <v>0.26505402</v>
      </c>
      <c r="AX94">
        <v>-0.15194772000000001</v>
      </c>
      <c r="AY94">
        <v>5.2809659999999998E-3</v>
      </c>
      <c r="AZ94">
        <v>-8.050672E-3</v>
      </c>
      <c r="BA94">
        <v>3.4592076999999999E-2</v>
      </c>
      <c r="BB94">
        <v>3.7274281999999999E-2</v>
      </c>
      <c r="BC94">
        <v>6.8647264999999999E-2</v>
      </c>
      <c r="BD94">
        <v>-5.5370763000000003E-2</v>
      </c>
      <c r="BE94">
        <v>-4.5165509999999999E-2</v>
      </c>
      <c r="BF94">
        <v>0.17856242999999999</v>
      </c>
      <c r="BG94">
        <v>-9.8611409999999997E-2</v>
      </c>
      <c r="BH94">
        <v>0.10397404</v>
      </c>
      <c r="BI94">
        <v>-0.14781041</v>
      </c>
      <c r="BJ94">
        <v>0.10878095</v>
      </c>
      <c r="BK94">
        <v>-8.3007424999999996E-2</v>
      </c>
      <c r="BL94">
        <v>-2.0198232E-2</v>
      </c>
      <c r="BM94">
        <v>-0.14656879</v>
      </c>
      <c r="BN94">
        <v>8.4599419999999995E-2</v>
      </c>
      <c r="BO94">
        <v>1.5078068E-3</v>
      </c>
      <c r="BP94">
        <v>-3.8692124000000001E-2</v>
      </c>
      <c r="BQ94">
        <v>0.12342161</v>
      </c>
      <c r="BR94">
        <v>-0.16131586000000001</v>
      </c>
      <c r="BS94">
        <v>0.15354209999999999</v>
      </c>
      <c r="BT94">
        <v>-0.1098223</v>
      </c>
      <c r="BU94">
        <v>0.20905299999999999</v>
      </c>
      <c r="BV94">
        <v>8.6594149999999995E-2</v>
      </c>
      <c r="BW94">
        <v>-8.4204550000000003E-2</v>
      </c>
      <c r="BX94">
        <v>2.9008908E-2</v>
      </c>
      <c r="BY94">
        <v>-4.9157089999999999E-3</v>
      </c>
      <c r="BZ94">
        <v>-6.4970600000000003E-2</v>
      </c>
      <c r="CA94">
        <v>0.21664274</v>
      </c>
      <c r="CB94">
        <v>-0.10915192</v>
      </c>
      <c r="CC94">
        <v>0.14209559999999999</v>
      </c>
      <c r="CD94">
        <v>-9.3204969999999998E-2</v>
      </c>
      <c r="CE94">
        <v>-0.11170125</v>
      </c>
      <c r="CF94">
        <v>0.22618525</v>
      </c>
      <c r="CG94">
        <v>0.14648046000000001</v>
      </c>
      <c r="CH94">
        <v>3.0793866E-2</v>
      </c>
      <c r="CI94">
        <v>0.14507808</v>
      </c>
      <c r="CJ94">
        <v>-4.8172726999999999E-2</v>
      </c>
      <c r="CK94">
        <v>0.10370747</v>
      </c>
      <c r="CL94">
        <v>-0.14683557999999999</v>
      </c>
      <c r="CM94">
        <v>0.27490973000000002</v>
      </c>
      <c r="CN94">
        <v>-2.9722914E-2</v>
      </c>
      <c r="CO94">
        <v>3.4103226E-2</v>
      </c>
      <c r="CP94">
        <v>0.18126637000000001</v>
      </c>
      <c r="CQ94">
        <v>0.12792510000000001</v>
      </c>
      <c r="CR94">
        <v>0.11350594999999999</v>
      </c>
      <c r="CS94">
        <v>-6.7601419999999995E-2</v>
      </c>
      <c r="CT94">
        <v>4.4569563E-2</v>
      </c>
      <c r="CU94">
        <v>1.6011065999999999E-3</v>
      </c>
      <c r="CV94">
        <v>-1.5292699E-2</v>
      </c>
      <c r="CW94">
        <v>4.8536445999999997E-2</v>
      </c>
      <c r="CX94">
        <v>8.2518800000000003E-2</v>
      </c>
      <c r="CY94">
        <v>-2.4591470000000001E-2</v>
      </c>
      <c r="CZ94">
        <v>0.17275251</v>
      </c>
      <c r="DA94">
        <v>-0.17281840000000001</v>
      </c>
      <c r="DB94">
        <v>3.0619965999999998E-2</v>
      </c>
      <c r="DC94">
        <v>0.32402789999999998</v>
      </c>
      <c r="DD94">
        <v>-9.1984070000000001E-2</v>
      </c>
      <c r="DE94">
        <v>-0.15843022000000001</v>
      </c>
      <c r="DF94">
        <v>-0.17730670000000001</v>
      </c>
      <c r="DG94">
        <v>0.24333560000000001</v>
      </c>
      <c r="DH94">
        <v>8.3457070000000008E-3</v>
      </c>
      <c r="DI94">
        <v>-9.1001100000000001E-2</v>
      </c>
      <c r="DJ94">
        <v>-0.13848984</v>
      </c>
      <c r="DK94">
        <v>-8.6181190000000005E-2</v>
      </c>
      <c r="DL94">
        <v>-5.1394906000000002E-3</v>
      </c>
      <c r="DM94">
        <v>0.16074216</v>
      </c>
      <c r="DN94">
        <v>-0.17607144</v>
      </c>
      <c r="DO94">
        <v>0.17194812000000001</v>
      </c>
      <c r="DP94">
        <v>0.18610889</v>
      </c>
      <c r="DQ94">
        <v>-3.5308287000000001E-2</v>
      </c>
      <c r="DR94">
        <v>0.17509916</v>
      </c>
      <c r="DS94">
        <v>-1.0505174000000001E-2</v>
      </c>
      <c r="DT94">
        <v>3.1070454000000001E-2</v>
      </c>
      <c r="DU94">
        <v>-8.7883589999999998E-2</v>
      </c>
      <c r="DV94">
        <v>0.22745956000000001</v>
      </c>
      <c r="DW94">
        <v>0.13633975000000001</v>
      </c>
      <c r="DX94">
        <v>8.6380979999999996E-2</v>
      </c>
      <c r="DY94">
        <v>-6.0016632E-2</v>
      </c>
      <c r="DZ94">
        <v>-9.4791479999999997E-2</v>
      </c>
    </row>
    <row r="95" spans="1:130" x14ac:dyDescent="0.3">
      <c r="A95">
        <f>Board!$I$9</f>
        <v>0</v>
      </c>
      <c r="C95">
        <v>1.0258656E-2</v>
      </c>
      <c r="D95">
        <v>-0.31967023</v>
      </c>
      <c r="E95">
        <v>-0.19002396999999999</v>
      </c>
      <c r="F95">
        <v>0.15716225</v>
      </c>
      <c r="G95">
        <v>7.2522365000000005E-2</v>
      </c>
      <c r="H95">
        <v>-0.18519863</v>
      </c>
      <c r="I95">
        <v>2.7907515000000001E-2</v>
      </c>
      <c r="J95">
        <v>-8.6492970000000002E-2</v>
      </c>
      <c r="K95">
        <v>7.9855280000000001E-2</v>
      </c>
      <c r="L95">
        <v>9.7499810000000006E-2</v>
      </c>
      <c r="M95">
        <v>2.2620062999999999E-2</v>
      </c>
      <c r="N95">
        <v>0.18950524999999999</v>
      </c>
      <c r="O95">
        <v>1.8756209999999999E-2</v>
      </c>
      <c r="P95">
        <v>0.25878823000000001</v>
      </c>
      <c r="Q95">
        <v>9.9779114000000002E-2</v>
      </c>
      <c r="R95">
        <v>-6.1459534000000003E-2</v>
      </c>
      <c r="S95">
        <v>3.4692649999999998E-2</v>
      </c>
      <c r="T95">
        <v>-2.3258816999999999E-3</v>
      </c>
      <c r="U95">
        <v>-4.2218103999999999E-2</v>
      </c>
      <c r="V95">
        <v>0.11593257</v>
      </c>
      <c r="W95">
        <v>0.12452566599999999</v>
      </c>
      <c r="X95">
        <v>0.16863178000000001</v>
      </c>
      <c r="Y95">
        <v>-0.36903045000000001</v>
      </c>
      <c r="Z95">
        <v>-4.5339428000000001E-2</v>
      </c>
      <c r="AA95">
        <v>0.2009755</v>
      </c>
      <c r="AB95">
        <v>7.2193919999999995E-2</v>
      </c>
      <c r="AC95">
        <v>0.18359350999999999</v>
      </c>
      <c r="AD95">
        <v>2.8881339999999998E-2</v>
      </c>
      <c r="AE95">
        <v>0.1132126</v>
      </c>
      <c r="AF95">
        <v>9.7820119999999997E-2</v>
      </c>
      <c r="AG95">
        <v>0.38770542000000002</v>
      </c>
      <c r="AH95">
        <v>-3.1121900000000001E-2</v>
      </c>
      <c r="AI95">
        <v>-6.5606990000000004E-2</v>
      </c>
      <c r="AJ95">
        <v>-9.0125719999999999E-3</v>
      </c>
      <c r="AK95">
        <v>0.35616140000000002</v>
      </c>
      <c r="AL95">
        <v>4.3898079999999999E-2</v>
      </c>
      <c r="AM95">
        <v>-6.9000759999999994E-2</v>
      </c>
      <c r="AN95">
        <v>5.5108465000000002E-2</v>
      </c>
      <c r="AO95">
        <v>-0.14410286999999999</v>
      </c>
      <c r="AP95">
        <v>3.1188792999999999E-2</v>
      </c>
      <c r="AQ95">
        <v>-0.13632907999999999</v>
      </c>
      <c r="AR95">
        <v>0.11259830999999999</v>
      </c>
      <c r="AS95">
        <v>0.11253655999999999</v>
      </c>
      <c r="AT95">
        <v>-5.8125469999999999E-2</v>
      </c>
      <c r="AU95">
        <v>-0.45309644999999998</v>
      </c>
      <c r="AV95">
        <v>-0.30029820000000002</v>
      </c>
      <c r="AW95">
        <v>2.8637470000000002E-2</v>
      </c>
      <c r="AX95">
        <v>-0.35567024000000003</v>
      </c>
      <c r="AY95">
        <v>-0.13424282000000001</v>
      </c>
      <c r="AZ95">
        <v>0.33242416000000002</v>
      </c>
      <c r="BA95">
        <v>-0.24846344000000001</v>
      </c>
      <c r="BB95">
        <v>9.6756430000000004E-2</v>
      </c>
      <c r="BC95">
        <v>0.10646421</v>
      </c>
      <c r="BD95">
        <v>-4.3874315999999997E-2</v>
      </c>
      <c r="BE95">
        <v>0.13601390999999999</v>
      </c>
      <c r="BF95">
        <v>0.12506036000000001</v>
      </c>
      <c r="BG95">
        <v>-0.14802307000000001</v>
      </c>
      <c r="BH95">
        <v>0.22607920000000001</v>
      </c>
      <c r="BI95">
        <v>-0.1838312</v>
      </c>
      <c r="BJ95">
        <v>-4.8672434000000001E-2</v>
      </c>
      <c r="BK95">
        <v>5.4111810000000003E-2</v>
      </c>
      <c r="BL95">
        <v>-2.8779384000000002E-2</v>
      </c>
      <c r="BM95">
        <v>8.4226529999999994E-2</v>
      </c>
      <c r="BN95">
        <v>-0.10521828</v>
      </c>
      <c r="BO95">
        <v>0.10937178</v>
      </c>
      <c r="BP95">
        <v>0.19656151999999999</v>
      </c>
      <c r="BQ95">
        <v>0.15763712999999999</v>
      </c>
      <c r="BR95">
        <v>-0.11546669</v>
      </c>
      <c r="BS95">
        <v>-4.5417640000000002E-2</v>
      </c>
      <c r="BT95">
        <v>6.8004320000000004E-3</v>
      </c>
      <c r="BU95">
        <v>1.6169731999999999E-2</v>
      </c>
      <c r="BV95">
        <v>0.25296336000000003</v>
      </c>
      <c r="BW95">
        <v>3.6458197999999997E-2</v>
      </c>
      <c r="BX95">
        <v>0.1094126</v>
      </c>
      <c r="BY95">
        <v>0.12989117</v>
      </c>
      <c r="BZ95">
        <v>-0.18113494999999999</v>
      </c>
      <c r="CA95">
        <v>3.0903190000000001E-2</v>
      </c>
      <c r="CB95">
        <v>9.2540349999999993E-2</v>
      </c>
      <c r="CC95">
        <v>0.30056620000000001</v>
      </c>
      <c r="CD95">
        <v>0.14738931999999999</v>
      </c>
      <c r="CE95">
        <v>0.14350552999999999</v>
      </c>
      <c r="CF95">
        <v>0.11787129</v>
      </c>
      <c r="CG95">
        <v>0.16119821000000001</v>
      </c>
      <c r="CH95">
        <v>6.5606899999999996E-2</v>
      </c>
      <c r="CI95">
        <v>1.0675337E-2</v>
      </c>
      <c r="CJ95">
        <v>-0.17228718000000001</v>
      </c>
      <c r="CK95">
        <v>0.10771273000000001</v>
      </c>
      <c r="CL95">
        <v>0.15236314000000001</v>
      </c>
      <c r="CM95">
        <v>7.176718E-2</v>
      </c>
      <c r="CN95">
        <v>-0.22293223000000001</v>
      </c>
      <c r="CO95">
        <v>6.6488720000000001E-2</v>
      </c>
      <c r="CP95">
        <v>0.1207038</v>
      </c>
      <c r="CQ95">
        <v>0.32350596999999998</v>
      </c>
      <c r="CR95">
        <v>-0.17601749999999999</v>
      </c>
      <c r="CS95">
        <v>0.11901961</v>
      </c>
      <c r="CT95">
        <v>5.466439E-3</v>
      </c>
      <c r="CU95">
        <v>-6.1947056000000002E-3</v>
      </c>
      <c r="CV95">
        <v>2.93735E-2</v>
      </c>
      <c r="CW95">
        <v>-0.31919769999999997</v>
      </c>
      <c r="CX95">
        <v>-4.4317125999999998E-2</v>
      </c>
      <c r="CY95">
        <v>0.16265003</v>
      </c>
      <c r="CZ95">
        <v>-0.47141114000000001</v>
      </c>
      <c r="DA95">
        <v>0.20143752000000001</v>
      </c>
      <c r="DB95">
        <v>0.12474671</v>
      </c>
      <c r="DC95">
        <v>-9.8926686E-2</v>
      </c>
      <c r="DD95">
        <v>-4.8354767E-2</v>
      </c>
      <c r="DE95">
        <v>0.10978586</v>
      </c>
      <c r="DF95">
        <v>-0.17758151999999999</v>
      </c>
      <c r="DG95">
        <v>-0.11724631000000001</v>
      </c>
      <c r="DH95">
        <v>9.2682265E-2</v>
      </c>
      <c r="DI95">
        <v>-1.3327153E-2</v>
      </c>
      <c r="DJ95">
        <v>0.19590864</v>
      </c>
      <c r="DK95">
        <v>1.2399887E-2</v>
      </c>
      <c r="DL95">
        <v>0.10182125</v>
      </c>
      <c r="DM95">
        <v>-0.22727543</v>
      </c>
      <c r="DN95">
        <v>7.1701563999999995E-2</v>
      </c>
      <c r="DO95">
        <v>0.19295928000000001</v>
      </c>
      <c r="DP95">
        <v>-7.1121030000000002E-2</v>
      </c>
      <c r="DQ95">
        <v>5.3608514000000003E-2</v>
      </c>
      <c r="DR95">
        <v>8.1059210000000007E-2</v>
      </c>
      <c r="DS95">
        <v>-4.1554615000000003E-2</v>
      </c>
      <c r="DT95">
        <v>-8.6906769999999994E-2</v>
      </c>
      <c r="DU95">
        <v>-0.22819286999999999</v>
      </c>
      <c r="DV95">
        <v>0.22029467</v>
      </c>
      <c r="DW95">
        <v>9.1094759999999997E-2</v>
      </c>
      <c r="DX95">
        <v>-0.1509839</v>
      </c>
      <c r="DY95">
        <v>-0.22027566000000001</v>
      </c>
      <c r="DZ95">
        <v>-7.4732629999999994E-2</v>
      </c>
    </row>
    <row r="96" spans="1:130" x14ac:dyDescent="0.3">
      <c r="A96">
        <f>Board!$J$9</f>
        <v>0</v>
      </c>
      <c r="C96">
        <v>0.11054093</v>
      </c>
      <c r="D96">
        <v>-0.28965595</v>
      </c>
      <c r="E96">
        <v>8.7710460000000004E-2</v>
      </c>
      <c r="F96">
        <v>6.2836439999999993E-2</v>
      </c>
      <c r="G96">
        <v>3.9550233999999997E-2</v>
      </c>
      <c r="H96">
        <v>4.5418071999999997E-2</v>
      </c>
      <c r="I96">
        <v>8.0996810000000002E-2</v>
      </c>
      <c r="J96">
        <v>5.4168010000000003E-2</v>
      </c>
      <c r="K96">
        <v>4.3112060000000001E-2</v>
      </c>
      <c r="L96">
        <v>-0.22436787</v>
      </c>
      <c r="M96">
        <v>9.2546253999999994E-2</v>
      </c>
      <c r="N96">
        <v>0.13236961</v>
      </c>
      <c r="O96">
        <v>1.1128061E-2</v>
      </c>
      <c r="P96">
        <v>-4.2115934000000001E-2</v>
      </c>
      <c r="Q96">
        <v>-4.1843070000000003E-2</v>
      </c>
      <c r="R96">
        <v>-6.5902084E-2</v>
      </c>
      <c r="S96">
        <v>-0.11238729</v>
      </c>
      <c r="T96">
        <v>0.19609818000000001</v>
      </c>
      <c r="U96">
        <v>-7.2394564999999994E-2</v>
      </c>
      <c r="V96">
        <v>0.13828291000000001</v>
      </c>
      <c r="W96">
        <v>-0.12576055999999999</v>
      </c>
      <c r="X96">
        <v>-0.15056026</v>
      </c>
      <c r="Y96">
        <v>-0.33977429999999997</v>
      </c>
      <c r="Z96">
        <v>-6.6089229999999999E-2</v>
      </c>
      <c r="AA96">
        <v>0.2494923</v>
      </c>
      <c r="AB96">
        <v>-5.7785339999999998E-2</v>
      </c>
      <c r="AC96">
        <v>-6.8689689999999998E-2</v>
      </c>
      <c r="AD96">
        <v>-0.10535048</v>
      </c>
      <c r="AE96">
        <v>-0.16154087</v>
      </c>
      <c r="AF96">
        <v>-0.26475966000000001</v>
      </c>
      <c r="AG96">
        <v>0.17045091000000001</v>
      </c>
      <c r="AH96">
        <v>-3.3180769999999998E-2</v>
      </c>
      <c r="AI96">
        <v>-9.2328473999999994E-2</v>
      </c>
      <c r="AJ96">
        <v>-0.18094173</v>
      </c>
      <c r="AK96">
        <v>0.29046159999999999</v>
      </c>
      <c r="AL96">
        <v>-7.1805060000000004E-2</v>
      </c>
      <c r="AM96">
        <v>0.17593315000000001</v>
      </c>
      <c r="AN96">
        <v>6.0804962999999997E-2</v>
      </c>
      <c r="AO96">
        <v>2.5116467999999999E-2</v>
      </c>
      <c r="AP96">
        <v>-4.5754104000000004E-3</v>
      </c>
      <c r="AQ96">
        <v>-0.20840828</v>
      </c>
      <c r="AR96">
        <v>-0.27178760000000002</v>
      </c>
      <c r="AS96">
        <v>-0.13335943</v>
      </c>
      <c r="AT96">
        <v>2.6017489000000001E-2</v>
      </c>
      <c r="AU96">
        <v>7.7416319999999997E-2</v>
      </c>
      <c r="AV96">
        <v>-0.40181729999999999</v>
      </c>
      <c r="AW96">
        <v>-5.9127126000000002E-2</v>
      </c>
      <c r="AX96">
        <v>-3.2001913E-2</v>
      </c>
      <c r="AY96">
        <v>-0.37358810999999997</v>
      </c>
      <c r="AZ96">
        <v>-7.2313189999999999E-3</v>
      </c>
      <c r="BA96">
        <v>-0.31969740000000002</v>
      </c>
      <c r="BB96">
        <v>6.0550555999999998E-2</v>
      </c>
      <c r="BC96">
        <v>7.0383959999999995E-2</v>
      </c>
      <c r="BD96">
        <v>-0.17933550000000001</v>
      </c>
      <c r="BE96">
        <v>0.14831870999999999</v>
      </c>
      <c r="BF96">
        <v>-0.16063638</v>
      </c>
      <c r="BG96">
        <v>-0.24426245999999999</v>
      </c>
      <c r="BH96">
        <v>-4.1463545999999997E-2</v>
      </c>
      <c r="BI96">
        <v>-1.6998602000000002E-2</v>
      </c>
      <c r="BJ96">
        <v>-0.17313329999999999</v>
      </c>
      <c r="BK96">
        <v>-2.831237E-2</v>
      </c>
      <c r="BL96">
        <v>0.21792220000000001</v>
      </c>
      <c r="BM96">
        <v>2.165856E-2</v>
      </c>
      <c r="BN96">
        <v>7.3382810000000007E-2</v>
      </c>
      <c r="BO96">
        <v>8.5683620000000002E-2</v>
      </c>
      <c r="BP96">
        <v>1.2840638E-2</v>
      </c>
      <c r="BQ96">
        <v>7.2882995000000006E-2</v>
      </c>
      <c r="BR96">
        <v>6.7646324999999993E-2</v>
      </c>
      <c r="BS96">
        <v>0.14291224999999999</v>
      </c>
      <c r="BT96">
        <v>-0.13439585000000001</v>
      </c>
      <c r="BU96">
        <v>2.0057568000000001E-2</v>
      </c>
      <c r="BV96">
        <v>4.3537146000000001E-3</v>
      </c>
      <c r="BW96">
        <v>6.6754380000000002E-2</v>
      </c>
      <c r="BX96">
        <v>-0.472246</v>
      </c>
      <c r="BY96">
        <v>-1.4324042E-2</v>
      </c>
      <c r="BZ96">
        <v>-0.45288348</v>
      </c>
      <c r="CA96">
        <v>-0.33593079999999997</v>
      </c>
      <c r="CB96">
        <v>0.18520164</v>
      </c>
      <c r="CC96">
        <v>3.9975673000000003E-2</v>
      </c>
      <c r="CD96">
        <v>5.919551E-2</v>
      </c>
      <c r="CE96">
        <v>3.6238342999999999E-2</v>
      </c>
      <c r="CF96">
        <v>0.11634848</v>
      </c>
      <c r="CG96">
        <v>6.2480889999999997E-2</v>
      </c>
      <c r="CH96">
        <v>-5.9241170000000003E-2</v>
      </c>
      <c r="CI96">
        <v>8.4141859999999999E-2</v>
      </c>
      <c r="CJ96">
        <v>-7.6724384000000003E-3</v>
      </c>
      <c r="CK96">
        <v>4.4361749999999998E-2</v>
      </c>
      <c r="CL96">
        <v>5.1604659999999997E-2</v>
      </c>
      <c r="CM96">
        <v>-0.25939524000000003</v>
      </c>
      <c r="CN96">
        <v>-2.9298732000000001E-2</v>
      </c>
      <c r="CO96">
        <v>0.22533407999999999</v>
      </c>
      <c r="CP96">
        <v>-2.1503864000000001E-2</v>
      </c>
      <c r="CQ96">
        <v>0.37986112</v>
      </c>
      <c r="CR96">
        <v>-0.20706632999999999</v>
      </c>
      <c r="CS96">
        <v>0.13365743999999999</v>
      </c>
      <c r="CT96">
        <v>-0.11182362999999999</v>
      </c>
      <c r="CU96">
        <v>8.6627949999999995E-2</v>
      </c>
      <c r="CV96">
        <v>-2.1830012999999999E-2</v>
      </c>
      <c r="CW96">
        <v>-0.23739246</v>
      </c>
      <c r="CX96">
        <v>-0.29039037000000001</v>
      </c>
      <c r="CY96">
        <v>2.4102073000000002E-2</v>
      </c>
      <c r="CZ96">
        <v>-5.9315342E-2</v>
      </c>
      <c r="DA96">
        <v>-3.8085349999999997E-2</v>
      </c>
      <c r="DB96">
        <v>-2.4866039999999999E-3</v>
      </c>
      <c r="DC96">
        <v>-0.10201781</v>
      </c>
      <c r="DD96">
        <v>-0.12407215000000001</v>
      </c>
      <c r="DE96">
        <v>2.7848640000000001E-2</v>
      </c>
      <c r="DF96">
        <v>4.8377150000000001E-2</v>
      </c>
      <c r="DG96">
        <v>0.13483174000000001</v>
      </c>
      <c r="DH96">
        <v>-8.3555609999999992E-3</v>
      </c>
      <c r="DI96">
        <v>0.16881779999999999</v>
      </c>
      <c r="DJ96">
        <v>-2.9171691999999999E-2</v>
      </c>
      <c r="DK96">
        <v>0.17250915</v>
      </c>
      <c r="DL96">
        <v>4.7933348000000001E-2</v>
      </c>
      <c r="DM96">
        <v>-9.0648889999999996E-2</v>
      </c>
      <c r="DN96">
        <v>-6.6458403999999999E-2</v>
      </c>
      <c r="DO96">
        <v>8.6615369999999997E-2</v>
      </c>
      <c r="DP96">
        <v>6.2440712000000002E-2</v>
      </c>
      <c r="DQ96">
        <v>-0.16147354</v>
      </c>
      <c r="DR96">
        <v>-5.4305006000000003E-2</v>
      </c>
      <c r="DS96">
        <v>-0.13993907</v>
      </c>
      <c r="DT96">
        <v>-0.1400161</v>
      </c>
      <c r="DU96">
        <v>6.6451330000000003E-2</v>
      </c>
      <c r="DV96">
        <v>-0.2156168</v>
      </c>
      <c r="DW96">
        <v>7.0808599999999999E-2</v>
      </c>
      <c r="DX96">
        <v>-7.0367769999999996E-2</v>
      </c>
      <c r="DY96">
        <v>-9.3594174999999998E-3</v>
      </c>
      <c r="DZ96">
        <v>-3.6886026999999998E-3</v>
      </c>
    </row>
    <row r="97" spans="1:130" x14ac:dyDescent="0.3">
      <c r="A97">
        <f>Board!$K$9</f>
        <v>0</v>
      </c>
      <c r="C97">
        <v>6.6516199999999998E-2</v>
      </c>
      <c r="D97">
        <v>-0.33221047999999997</v>
      </c>
      <c r="E97">
        <v>0.14970908999999999</v>
      </c>
      <c r="F97">
        <v>1.3877908E-2</v>
      </c>
      <c r="G97">
        <v>-2.1213083000000001E-2</v>
      </c>
      <c r="H97">
        <v>-0.23778614000000001</v>
      </c>
      <c r="I97">
        <v>4.7164406999999998E-2</v>
      </c>
      <c r="J97">
        <v>0.17547765000000001</v>
      </c>
      <c r="K97">
        <v>2.6983513000000001E-2</v>
      </c>
      <c r="L97">
        <v>-0.19701529000000001</v>
      </c>
      <c r="M97">
        <v>7.5813889999999995E-2</v>
      </c>
      <c r="N97">
        <v>-3.2899077999999998E-2</v>
      </c>
      <c r="O97">
        <v>-7.7800430000000004E-2</v>
      </c>
      <c r="P97">
        <v>2.7947073999999999E-2</v>
      </c>
      <c r="Q97">
        <v>-3.2591160000000001E-2</v>
      </c>
      <c r="R97">
        <v>-0.1846613</v>
      </c>
      <c r="S97">
        <v>6.0276320000000001E-2</v>
      </c>
      <c r="T97">
        <v>0.16291713999999999</v>
      </c>
      <c r="U97">
        <v>8.4264464999999997E-2</v>
      </c>
      <c r="V97">
        <v>0.23022528</v>
      </c>
      <c r="W97">
        <v>-0.15683900000000001</v>
      </c>
      <c r="X97">
        <v>-4.1590147000000001E-2</v>
      </c>
      <c r="Y97">
        <v>-0.14620491999999999</v>
      </c>
      <c r="Z97">
        <v>-0.19979549999999999</v>
      </c>
      <c r="AA97">
        <v>0.17511323000000001</v>
      </c>
      <c r="AB97">
        <v>-3.7312508000000001E-2</v>
      </c>
      <c r="AC97">
        <v>-7.3407195999999994E-2</v>
      </c>
      <c r="AD97">
        <v>-0.21095238999999999</v>
      </c>
      <c r="AE97">
        <v>-3.9334673000000001E-2</v>
      </c>
      <c r="AF97">
        <v>-0.13780734</v>
      </c>
      <c r="AG97">
        <v>0.34614208000000002</v>
      </c>
      <c r="AH97">
        <v>-3.7872469999999998E-2</v>
      </c>
      <c r="AI97">
        <v>9.660415E-2</v>
      </c>
      <c r="AJ97">
        <v>6.2684119999999996E-2</v>
      </c>
      <c r="AK97">
        <v>0.115283266</v>
      </c>
      <c r="AL97">
        <v>-2.1525507999999999E-2</v>
      </c>
      <c r="AM97">
        <v>7.9056799999999997E-2</v>
      </c>
      <c r="AN97">
        <v>-1.4027569000000001E-3</v>
      </c>
      <c r="AO97">
        <v>0.13603576000000001</v>
      </c>
      <c r="AP97">
        <v>-7.12618E-2</v>
      </c>
      <c r="AQ97">
        <v>-4.7720793999999997E-2</v>
      </c>
      <c r="AR97">
        <v>-0.29668218000000002</v>
      </c>
      <c r="AS97">
        <v>5.8202963000000003E-2</v>
      </c>
      <c r="AT97">
        <v>-5.7711407999999999E-2</v>
      </c>
      <c r="AU97">
        <v>0.28641035999999997</v>
      </c>
      <c r="AV97">
        <v>-0.12742994999999999</v>
      </c>
      <c r="AW97">
        <v>0.14947829000000001</v>
      </c>
      <c r="AX97">
        <v>1.3418796E-2</v>
      </c>
      <c r="AY97">
        <v>-9.1287199999999999E-2</v>
      </c>
      <c r="AZ97">
        <v>-9.1549106000000005E-2</v>
      </c>
      <c r="BA97">
        <v>-0.37775110000000001</v>
      </c>
      <c r="BB97">
        <v>-0.39176759999999999</v>
      </c>
      <c r="BC97">
        <v>-8.6691199999999996E-2</v>
      </c>
      <c r="BD97">
        <v>8.0888084999999998E-2</v>
      </c>
      <c r="BE97">
        <v>2.7970704999999998E-2</v>
      </c>
      <c r="BF97">
        <v>-0.38484605999999999</v>
      </c>
      <c r="BG97">
        <v>-0.37594541999999997</v>
      </c>
      <c r="BH97">
        <v>-3.5939644999999999E-2</v>
      </c>
      <c r="BI97">
        <v>3.6855828E-2</v>
      </c>
      <c r="BJ97">
        <v>3.6562560000000001E-2</v>
      </c>
      <c r="BK97">
        <v>-1.9795225999999998E-3</v>
      </c>
      <c r="BL97">
        <v>8.825355E-3</v>
      </c>
      <c r="BM97">
        <v>-6.4787059999999994E-2</v>
      </c>
      <c r="BN97">
        <v>-4.9205393E-2</v>
      </c>
      <c r="BO97">
        <v>4.0934928000000002E-2</v>
      </c>
      <c r="BP97">
        <v>1.7755320000000002E-2</v>
      </c>
      <c r="BQ97">
        <v>3.1703729999999999E-2</v>
      </c>
      <c r="BR97">
        <v>-8.2901959999999997E-2</v>
      </c>
      <c r="BS97">
        <v>0.15443198</v>
      </c>
      <c r="BT97">
        <v>-0.14537149999999999</v>
      </c>
      <c r="BU97">
        <v>-6.2781030000000002E-2</v>
      </c>
      <c r="BV97">
        <v>-0.13108104000000001</v>
      </c>
      <c r="BW97">
        <v>0.124542154</v>
      </c>
      <c r="BX97">
        <v>-0.11534667999999999</v>
      </c>
      <c r="BY97">
        <v>-0.14491118</v>
      </c>
      <c r="BZ97">
        <v>-0.43544885999999999</v>
      </c>
      <c r="CA97">
        <v>-0.26764909999999997</v>
      </c>
      <c r="CB97">
        <v>2.8299398999999999E-2</v>
      </c>
      <c r="CC97">
        <v>0.32076594000000003</v>
      </c>
      <c r="CD97">
        <v>0.13886334</v>
      </c>
      <c r="CE97">
        <v>-0.12524055000000001</v>
      </c>
      <c r="CF97">
        <v>0.21826615999999999</v>
      </c>
      <c r="CG97">
        <v>0.31748989999999999</v>
      </c>
      <c r="CH97">
        <v>-0.21042652000000001</v>
      </c>
      <c r="CI97">
        <v>9.5416576000000003E-2</v>
      </c>
      <c r="CJ97">
        <v>0.21620132</v>
      </c>
      <c r="CK97">
        <v>0.11914175</v>
      </c>
      <c r="CL97">
        <v>0.13690279999999999</v>
      </c>
      <c r="CM97">
        <v>-0.26709458000000003</v>
      </c>
      <c r="CN97">
        <v>-6.3126883999999994E-2</v>
      </c>
      <c r="CO97">
        <v>0.21594985999999999</v>
      </c>
      <c r="CP97">
        <v>-0.11760304000000001</v>
      </c>
      <c r="CQ97">
        <v>0.2445195</v>
      </c>
      <c r="CR97">
        <v>-3.8953307999999999E-2</v>
      </c>
      <c r="CS97">
        <v>0.11036536</v>
      </c>
      <c r="CT97">
        <v>1.5673264999999999E-2</v>
      </c>
      <c r="CU97">
        <v>5.9620164000000003E-2</v>
      </c>
      <c r="CV97">
        <v>-9.6132300000000004E-2</v>
      </c>
      <c r="CW97">
        <v>-8.2538329999999993E-2</v>
      </c>
      <c r="CX97">
        <v>-0.13840843999999999</v>
      </c>
      <c r="CY97">
        <v>-0.14254101999999999</v>
      </c>
      <c r="CZ97">
        <v>4.6742856999999999E-2</v>
      </c>
      <c r="DA97">
        <v>-4.1060895E-2</v>
      </c>
      <c r="DB97">
        <v>-2.3841351E-2</v>
      </c>
      <c r="DC97">
        <v>9.8880544000000001E-2</v>
      </c>
      <c r="DD97">
        <v>-0.15831332000000001</v>
      </c>
      <c r="DE97">
        <v>0.11529951500000001</v>
      </c>
      <c r="DF97">
        <v>0.20166263000000001</v>
      </c>
      <c r="DG97">
        <v>0.25047039999999998</v>
      </c>
      <c r="DH97">
        <v>-9.5106535000000006E-2</v>
      </c>
      <c r="DI97">
        <v>1.3439721999999999E-2</v>
      </c>
      <c r="DJ97">
        <v>5.0959438000000003E-2</v>
      </c>
      <c r="DK97">
        <v>0.1248175</v>
      </c>
      <c r="DL97">
        <v>0.13044053</v>
      </c>
      <c r="DM97">
        <v>2.6002089999999999E-2</v>
      </c>
      <c r="DN97">
        <v>4.0679153000000003E-2</v>
      </c>
      <c r="DO97">
        <v>0.16213398000000001</v>
      </c>
      <c r="DP97">
        <v>-4.3882329999999997E-2</v>
      </c>
      <c r="DQ97">
        <v>-0.1618057</v>
      </c>
      <c r="DR97">
        <v>-0.121377505</v>
      </c>
      <c r="DS97">
        <v>-0.24023595</v>
      </c>
      <c r="DT97">
        <v>-3.0467254999999999E-2</v>
      </c>
      <c r="DU97">
        <v>-1.7047608000000001E-3</v>
      </c>
      <c r="DV97">
        <v>-0.39545426</v>
      </c>
      <c r="DW97">
        <v>0.16980550999999999</v>
      </c>
      <c r="DX97">
        <v>6.5192650000000005E-2</v>
      </c>
      <c r="DY97">
        <v>0.13144922000000001</v>
      </c>
      <c r="DZ97">
        <v>0.13041891</v>
      </c>
    </row>
    <row r="98" spans="1:130" x14ac:dyDescent="0.3">
      <c r="A98">
        <f>Board!$L$9</f>
        <v>0</v>
      </c>
      <c r="C98">
        <v>0.20091496</v>
      </c>
      <c r="D98">
        <v>-0.17962494000000001</v>
      </c>
      <c r="E98">
        <v>0.13810699000000001</v>
      </c>
      <c r="F98">
        <v>-0.26855916000000002</v>
      </c>
      <c r="G98">
        <v>-1.9349004999999999E-2</v>
      </c>
      <c r="H98">
        <v>0.20828198000000001</v>
      </c>
      <c r="I98">
        <v>-6.3998689999999997E-2</v>
      </c>
      <c r="J98">
        <v>0.3421612</v>
      </c>
      <c r="K98">
        <v>0.25364602000000003</v>
      </c>
      <c r="L98">
        <v>-0.30663780000000002</v>
      </c>
      <c r="M98">
        <v>-0.20576262000000001</v>
      </c>
      <c r="N98">
        <v>-2.3658002000000001E-2</v>
      </c>
      <c r="O98">
        <v>-7.9412416E-2</v>
      </c>
      <c r="P98">
        <v>-0.13252957000000001</v>
      </c>
      <c r="Q98">
        <v>8.0585909999999997E-2</v>
      </c>
      <c r="R98">
        <v>5.3341974E-2</v>
      </c>
      <c r="S98">
        <v>-0.11277811</v>
      </c>
      <c r="T98">
        <v>0.12747327999999999</v>
      </c>
      <c r="U98">
        <v>8.4625030000000004E-2</v>
      </c>
      <c r="V98">
        <v>0.1592712</v>
      </c>
      <c r="W98">
        <v>0.22025982</v>
      </c>
      <c r="X98">
        <v>-0.24532989999999999</v>
      </c>
      <c r="Y98">
        <v>-0.14602767999999999</v>
      </c>
      <c r="Z98">
        <v>1.1570225999999999E-2</v>
      </c>
      <c r="AA98">
        <v>0.21902812999999999</v>
      </c>
      <c r="AB98">
        <v>-3.4933467000000001E-4</v>
      </c>
      <c r="AC98">
        <v>3.6885544999999999E-2</v>
      </c>
      <c r="AD98">
        <v>-4.6441639999999999E-2</v>
      </c>
      <c r="AE98">
        <v>0.23971674000000001</v>
      </c>
      <c r="AF98">
        <v>-0.30803254000000002</v>
      </c>
      <c r="AG98">
        <v>3.2705892E-2</v>
      </c>
      <c r="AH98">
        <v>0.17499729999999999</v>
      </c>
      <c r="AI98">
        <v>6.8769449999999996E-2</v>
      </c>
      <c r="AJ98">
        <v>7.7269539999999998E-2</v>
      </c>
      <c r="AK98">
        <v>-3.1001205E-2</v>
      </c>
      <c r="AL98">
        <v>-5.6023379999999998E-2</v>
      </c>
      <c r="AM98">
        <v>0.114818305</v>
      </c>
      <c r="AN98">
        <v>-0.10809526</v>
      </c>
      <c r="AO98">
        <v>-6.2297989999999998E-2</v>
      </c>
      <c r="AP98">
        <v>-1.0268812E-2</v>
      </c>
      <c r="AQ98">
        <v>-6.8548789999999998E-2</v>
      </c>
      <c r="AR98">
        <v>-0.12748662999999999</v>
      </c>
      <c r="AS98">
        <v>5.0642446000000001E-4</v>
      </c>
      <c r="AT98">
        <v>-0.47757604999999997</v>
      </c>
      <c r="AU98">
        <v>5.1780096999999997E-2</v>
      </c>
      <c r="AV98">
        <v>-6.5602759999999996E-2</v>
      </c>
      <c r="AW98">
        <v>0.11888716000000001</v>
      </c>
      <c r="AX98">
        <v>0.25491821999999997</v>
      </c>
      <c r="AY98">
        <v>0.13601530000000001</v>
      </c>
      <c r="AZ98">
        <v>-2.1842365999999998E-2</v>
      </c>
      <c r="BA98">
        <v>-0.41987658</v>
      </c>
      <c r="BB98">
        <v>-0.31349716</v>
      </c>
      <c r="BC98">
        <v>-7.3243879999999997E-2</v>
      </c>
      <c r="BD98">
        <v>-0.14272310999999999</v>
      </c>
      <c r="BE98">
        <v>0.32418647</v>
      </c>
      <c r="BF98">
        <v>-0.21400786999999999</v>
      </c>
      <c r="BG98">
        <v>-0.25135687000000001</v>
      </c>
      <c r="BH98">
        <v>2.0794261000000001E-2</v>
      </c>
      <c r="BI98">
        <v>-9.1133640000000002E-2</v>
      </c>
      <c r="BJ98">
        <v>1.0505578E-3</v>
      </c>
      <c r="BK98">
        <v>-8.4748529999999992E-3</v>
      </c>
      <c r="BL98">
        <v>-0.13422522000000001</v>
      </c>
      <c r="BM98">
        <v>-0.13176442999999999</v>
      </c>
      <c r="BN98">
        <v>-2.9555812000000001E-2</v>
      </c>
      <c r="BO98">
        <v>6.0937084000000002E-2</v>
      </c>
      <c r="BP98">
        <v>-5.6884511999999998E-2</v>
      </c>
      <c r="BQ98">
        <v>0.18062326000000001</v>
      </c>
      <c r="BR98">
        <v>-0.21868235</v>
      </c>
      <c r="BS98">
        <v>0.20536931999999999</v>
      </c>
      <c r="BT98">
        <v>-0.15384365999999999</v>
      </c>
      <c r="BU98">
        <v>-0.22240323000000001</v>
      </c>
      <c r="BV98">
        <v>-2.1443070000000002E-2</v>
      </c>
      <c r="BW98">
        <v>0.24546374000000001</v>
      </c>
      <c r="BX98">
        <v>-0.102361865</v>
      </c>
      <c r="BY98">
        <v>5.3421054000000003E-2</v>
      </c>
      <c r="BZ98">
        <v>-0.23348144000000001</v>
      </c>
      <c r="CA98">
        <v>-0.25576815000000003</v>
      </c>
      <c r="CB98">
        <v>0.26761742999999999</v>
      </c>
      <c r="CC98">
        <v>0.32337169999999998</v>
      </c>
      <c r="CD98">
        <v>0.16010985</v>
      </c>
      <c r="CE98">
        <v>0.20036902000000001</v>
      </c>
      <c r="CF98">
        <v>4.798902E-2</v>
      </c>
      <c r="CG98">
        <v>0.15908295</v>
      </c>
      <c r="CH98">
        <v>-0.37856779000000002</v>
      </c>
      <c r="CI98">
        <v>4.0757939999999999E-2</v>
      </c>
      <c r="CJ98">
        <v>0.11816404</v>
      </c>
      <c r="CK98">
        <v>-0.13107795999999999</v>
      </c>
      <c r="CL98">
        <v>1.9601753E-2</v>
      </c>
      <c r="CM98">
        <v>5.8255777000000002E-2</v>
      </c>
      <c r="CN98">
        <v>7.6586500000000002E-2</v>
      </c>
      <c r="CO98">
        <v>0.28328097000000002</v>
      </c>
      <c r="CP98">
        <v>-0.23137341</v>
      </c>
      <c r="CQ98">
        <v>7.9000353999999995E-2</v>
      </c>
      <c r="CR98">
        <v>0.14415849999999999</v>
      </c>
      <c r="CS98">
        <v>0.24948409999999999</v>
      </c>
      <c r="CT98">
        <v>9.0072889999999999E-3</v>
      </c>
      <c r="CU98">
        <v>5.9353876999999999E-2</v>
      </c>
      <c r="CV98">
        <v>-1.9746546E-2</v>
      </c>
      <c r="CW98">
        <v>-0.1619273</v>
      </c>
      <c r="CX98">
        <v>-2.4260440000000001E-2</v>
      </c>
      <c r="CY98">
        <v>7.0886956999999997E-3</v>
      </c>
      <c r="CZ98">
        <v>-2.4106567999999998E-2</v>
      </c>
      <c r="DA98">
        <v>8.3546569999999997E-3</v>
      </c>
      <c r="DB98">
        <v>6.5185670000000001E-2</v>
      </c>
      <c r="DC98">
        <v>0.16175481999999999</v>
      </c>
      <c r="DD98">
        <v>-0.10192691500000001</v>
      </c>
      <c r="DE98">
        <v>-1.8331093999999999E-2</v>
      </c>
      <c r="DF98">
        <v>0.32453864999999998</v>
      </c>
      <c r="DG98">
        <v>0.10576148</v>
      </c>
      <c r="DH98">
        <v>-8.3448813999999997E-4</v>
      </c>
      <c r="DI98">
        <v>-0.12009644999999999</v>
      </c>
      <c r="DJ98">
        <v>7.4490219999999996E-2</v>
      </c>
      <c r="DK98">
        <v>-2.8169869E-2</v>
      </c>
      <c r="DL98">
        <v>-2.9341169E-2</v>
      </c>
      <c r="DM98">
        <v>-6.6498584999999999E-2</v>
      </c>
      <c r="DN98">
        <v>4.5495584999999998E-2</v>
      </c>
      <c r="DO98">
        <v>0.11718058000000001</v>
      </c>
      <c r="DP98">
        <v>7.396295E-2</v>
      </c>
      <c r="DQ98">
        <v>5.4823123000000001E-2</v>
      </c>
      <c r="DR98">
        <v>-8.8179510000000003E-2</v>
      </c>
      <c r="DS98">
        <v>-0.19039829</v>
      </c>
      <c r="DT98">
        <v>0.16277518999999999</v>
      </c>
      <c r="DU98">
        <v>0.18335229</v>
      </c>
      <c r="DV98">
        <v>-0.38922404999999999</v>
      </c>
      <c r="DW98">
        <v>-6.7215603999999998E-3</v>
      </c>
      <c r="DX98">
        <v>0.22635301999999999</v>
      </c>
      <c r="DY98">
        <v>0.18727516</v>
      </c>
      <c r="DZ98">
        <v>0.20759015</v>
      </c>
    </row>
    <row r="99" spans="1:130" x14ac:dyDescent="0.3">
      <c r="A99">
        <f>Board!$M$9</f>
        <v>0</v>
      </c>
      <c r="C99">
        <v>0.13343272</v>
      </c>
      <c r="D99">
        <v>-6.1696547999999997E-2</v>
      </c>
      <c r="E99">
        <v>4.5525826999999998E-2</v>
      </c>
      <c r="F99">
        <v>-7.7047699999999997E-2</v>
      </c>
      <c r="G99">
        <v>0.12845999999999999</v>
      </c>
      <c r="H99">
        <v>-1.4277712E-2</v>
      </c>
      <c r="I99">
        <v>-0.27143407000000003</v>
      </c>
      <c r="J99">
        <v>3.9755654000000001E-2</v>
      </c>
      <c r="K99">
        <v>8.5962854000000005E-2</v>
      </c>
      <c r="L99">
        <v>-0.24847037999999999</v>
      </c>
      <c r="M99">
        <v>-7.417733E-2</v>
      </c>
      <c r="N99">
        <v>0.17862639999999999</v>
      </c>
      <c r="O99">
        <v>-0.51095604999999999</v>
      </c>
      <c r="P99">
        <v>-8.3726339999999996E-2</v>
      </c>
      <c r="Q99">
        <v>0.13455966</v>
      </c>
      <c r="R99">
        <v>6.0450530000000002E-2</v>
      </c>
      <c r="S99">
        <v>5.5345446E-2</v>
      </c>
      <c r="T99">
        <v>-0.13974666999999999</v>
      </c>
      <c r="U99">
        <v>-3.2686666000000003E-2</v>
      </c>
      <c r="V99">
        <v>-0.17237255000000001</v>
      </c>
      <c r="W99">
        <v>0.12671489999999999</v>
      </c>
      <c r="X99">
        <v>-0.23208192</v>
      </c>
      <c r="Y99">
        <v>5.7168812000000001E-3</v>
      </c>
      <c r="Z99">
        <v>-0.16192614999999999</v>
      </c>
      <c r="AA99">
        <v>-7.8505284999999994E-2</v>
      </c>
      <c r="AB99">
        <v>0.10691074</v>
      </c>
      <c r="AC99">
        <v>0.53246300000000002</v>
      </c>
      <c r="AD99">
        <v>0.25784937000000002</v>
      </c>
      <c r="AE99">
        <v>0.15929832999999999</v>
      </c>
      <c r="AF99">
        <v>-0.32395069999999998</v>
      </c>
      <c r="AG99">
        <v>-9.6850649999999996E-2</v>
      </c>
      <c r="AH99">
        <v>0.26679849999999999</v>
      </c>
      <c r="AI99">
        <v>5.3089270000000001E-2</v>
      </c>
      <c r="AJ99">
        <v>-0.12265783500000001</v>
      </c>
      <c r="AK99">
        <v>0.46680604999999997</v>
      </c>
      <c r="AL99">
        <v>0.22275274</v>
      </c>
      <c r="AM99">
        <v>0.12108544</v>
      </c>
      <c r="AN99">
        <v>-0.24588591000000001</v>
      </c>
      <c r="AO99">
        <v>-0.35940006000000002</v>
      </c>
      <c r="AP99">
        <v>-0.25851344999999998</v>
      </c>
      <c r="AQ99">
        <v>9.3988660000000002E-2</v>
      </c>
      <c r="AR99">
        <v>-0.2185539</v>
      </c>
      <c r="AS99">
        <v>8.23768E-2</v>
      </c>
      <c r="AT99">
        <v>-0.15130523000000001</v>
      </c>
      <c r="AU99">
        <v>-0.14815174</v>
      </c>
      <c r="AV99">
        <v>0.11938919000000001</v>
      </c>
      <c r="AW99">
        <v>5.0160926000000002E-2</v>
      </c>
      <c r="AX99">
        <v>6.2919310000000006E-2</v>
      </c>
      <c r="AY99">
        <v>0.23501968000000001</v>
      </c>
      <c r="AZ99">
        <v>7.6171174999999994E-2</v>
      </c>
      <c r="BA99">
        <v>-8.4373504000000002E-2</v>
      </c>
      <c r="BB99">
        <v>-0.10969395999999999</v>
      </c>
      <c r="BC99">
        <v>0.18973430999999999</v>
      </c>
      <c r="BD99">
        <v>0.39203779999999999</v>
      </c>
      <c r="BE99">
        <v>-0.12954396000000001</v>
      </c>
      <c r="BF99">
        <v>-0.13197911000000001</v>
      </c>
      <c r="BG99">
        <v>-0.16057093</v>
      </c>
      <c r="BH99">
        <v>0.2822076</v>
      </c>
      <c r="BI99">
        <v>-0.118527465</v>
      </c>
      <c r="BJ99">
        <v>0.35407191999999998</v>
      </c>
      <c r="BK99">
        <v>-0.44016957000000001</v>
      </c>
      <c r="BL99">
        <v>-0.10461528</v>
      </c>
      <c r="BM99">
        <v>0.16319954</v>
      </c>
      <c r="BN99">
        <v>-0.16479099</v>
      </c>
      <c r="BO99">
        <v>0.31893749999999998</v>
      </c>
      <c r="BP99">
        <v>-0.20900479</v>
      </c>
      <c r="BQ99">
        <v>0.22764139999999999</v>
      </c>
      <c r="BR99">
        <v>-0.19388922</v>
      </c>
      <c r="BS99">
        <v>0.22286944</v>
      </c>
      <c r="BT99">
        <v>5.9228530000000001E-2</v>
      </c>
      <c r="BU99">
        <v>-0.21179867999999999</v>
      </c>
      <c r="BV99">
        <v>-0.19100702</v>
      </c>
      <c r="BW99">
        <v>-8.1305460000000006E-3</v>
      </c>
      <c r="BX99">
        <v>-0.27958359999999999</v>
      </c>
      <c r="BY99">
        <v>5.1395543000000002E-2</v>
      </c>
      <c r="BZ99">
        <v>3.2060739999999997E-2</v>
      </c>
      <c r="CA99">
        <v>-0.23659250000000001</v>
      </c>
      <c r="CB99">
        <v>5.6609093999999999E-2</v>
      </c>
      <c r="CC99">
        <v>0.20635893999999999</v>
      </c>
      <c r="CD99">
        <v>0.12389389000000001</v>
      </c>
      <c r="CE99">
        <v>0.35330646999999998</v>
      </c>
      <c r="CF99">
        <v>0.45899499999999999</v>
      </c>
      <c r="CG99">
        <v>-0.24682662999999999</v>
      </c>
      <c r="CH99">
        <v>0.10364959</v>
      </c>
      <c r="CI99">
        <v>0.16923831</v>
      </c>
      <c r="CJ99">
        <v>0.2678565</v>
      </c>
      <c r="CK99">
        <v>-0.33509129999999998</v>
      </c>
      <c r="CL99">
        <v>-6.8782200000000002E-2</v>
      </c>
      <c r="CM99">
        <v>0.19931594999999999</v>
      </c>
      <c r="CN99">
        <v>0.31823224</v>
      </c>
      <c r="CO99">
        <v>-1.1047289E-2</v>
      </c>
      <c r="CP99">
        <v>4.678247E-2</v>
      </c>
      <c r="CQ99">
        <v>0.20073704000000001</v>
      </c>
      <c r="CR99">
        <v>0.12511495</v>
      </c>
      <c r="CS99">
        <v>0.25164421999999997</v>
      </c>
      <c r="CT99">
        <v>-0.14654912</v>
      </c>
      <c r="CU99">
        <v>-0.37382910000000003</v>
      </c>
      <c r="CV99">
        <v>-0.17465530000000001</v>
      </c>
      <c r="CW99">
        <v>5.8585565999999999E-2</v>
      </c>
      <c r="CX99">
        <v>6.7940550000000002E-2</v>
      </c>
      <c r="CY99">
        <v>-0.15718766000000001</v>
      </c>
      <c r="CZ99">
        <v>-8.5573129999999997E-2</v>
      </c>
      <c r="DA99">
        <v>-0.36774047999999998</v>
      </c>
      <c r="DB99">
        <v>0.38803803999999997</v>
      </c>
      <c r="DC99">
        <v>-0.28927204000000001</v>
      </c>
      <c r="DD99">
        <v>-0.24527779999999999</v>
      </c>
      <c r="DE99">
        <v>-7.6622830000000003E-2</v>
      </c>
      <c r="DF99">
        <v>3.6224726999999998E-2</v>
      </c>
      <c r="DG99">
        <v>0.20235310000000001</v>
      </c>
      <c r="DH99">
        <v>0.14850926</v>
      </c>
      <c r="DI99">
        <v>-0.1053494</v>
      </c>
      <c r="DJ99">
        <v>-4.6249837000000002E-2</v>
      </c>
      <c r="DK99">
        <v>-0.12286719</v>
      </c>
      <c r="DL99">
        <v>-0.12770477</v>
      </c>
      <c r="DM99">
        <v>4.3511090000000002E-2</v>
      </c>
      <c r="DN99">
        <v>0.20668471999999999</v>
      </c>
      <c r="DO99">
        <v>0.21648102</v>
      </c>
      <c r="DP99">
        <v>2.1075218999999999E-2</v>
      </c>
      <c r="DQ99">
        <v>-0.17539309</v>
      </c>
      <c r="DR99">
        <v>-5.5601159999999997E-2</v>
      </c>
      <c r="DS99">
        <v>0.16467497</v>
      </c>
      <c r="DT99">
        <v>2.2089772000000001E-2</v>
      </c>
      <c r="DU99">
        <v>-0.18083978000000001</v>
      </c>
      <c r="DV99">
        <v>-8.0010059999999994E-2</v>
      </c>
      <c r="DW99">
        <v>0.12022989000000001</v>
      </c>
      <c r="DX99">
        <v>0.27023150000000001</v>
      </c>
      <c r="DY99">
        <v>-9.2822700000000005E-3</v>
      </c>
      <c r="DZ99">
        <v>0.15880378000000001</v>
      </c>
    </row>
    <row r="100" spans="1:130" x14ac:dyDescent="0.3">
      <c r="A100">
        <f>Board!$B$10</f>
        <v>0</v>
      </c>
      <c r="C100">
        <v>0.38369409999999998</v>
      </c>
      <c r="D100">
        <v>-0.16911277</v>
      </c>
      <c r="E100">
        <v>-0.15029890000000001</v>
      </c>
      <c r="F100">
        <v>3.2808410000000003E-2</v>
      </c>
      <c r="G100">
        <v>-0.15884545</v>
      </c>
      <c r="H100">
        <v>-1.4532906E-2</v>
      </c>
      <c r="I100">
        <v>-0.118517146</v>
      </c>
      <c r="J100">
        <v>0.14447246</v>
      </c>
      <c r="K100">
        <v>-2.8666612E-3</v>
      </c>
      <c r="L100">
        <v>0.13791348</v>
      </c>
      <c r="M100">
        <v>7.3371820000000004E-2</v>
      </c>
      <c r="N100">
        <v>-0.27199965999999998</v>
      </c>
      <c r="O100">
        <v>0.29657939999999999</v>
      </c>
      <c r="P100">
        <v>-0.22975571</v>
      </c>
      <c r="Q100">
        <v>0.18942049999999999</v>
      </c>
      <c r="R100">
        <v>6.4609200000000006E-2</v>
      </c>
      <c r="S100">
        <v>0.33837666999999999</v>
      </c>
      <c r="T100">
        <v>-5.8758702000000003E-2</v>
      </c>
      <c r="U100">
        <v>-0.18235354000000001</v>
      </c>
      <c r="V100">
        <v>-5.96614E-3</v>
      </c>
      <c r="W100">
        <v>0.31807025999999999</v>
      </c>
      <c r="X100">
        <v>-0.12005934</v>
      </c>
      <c r="Y100">
        <v>-0.16425202999999999</v>
      </c>
      <c r="Z100">
        <v>8.8871599999999995E-2</v>
      </c>
      <c r="AA100">
        <v>0.17559876999999999</v>
      </c>
      <c r="AB100">
        <v>0.37998658000000002</v>
      </c>
      <c r="AC100">
        <v>-0.28152922000000002</v>
      </c>
      <c r="AD100">
        <v>-2.7884214999999999E-3</v>
      </c>
      <c r="AE100">
        <v>-0.26397039999999999</v>
      </c>
      <c r="AF100">
        <v>-5.6658205000000003E-2</v>
      </c>
      <c r="AG100">
        <v>-1.5966985E-2</v>
      </c>
      <c r="AH100">
        <v>-0.25471147999999999</v>
      </c>
      <c r="AI100">
        <v>-0.10316697499999999</v>
      </c>
      <c r="AJ100">
        <v>0.25693055999999997</v>
      </c>
      <c r="AK100">
        <v>-0.13624296</v>
      </c>
      <c r="AL100">
        <v>8.4721245000000001E-2</v>
      </c>
      <c r="AM100">
        <v>-5.3320172999999998E-2</v>
      </c>
      <c r="AN100">
        <v>8.1654740000000003E-2</v>
      </c>
      <c r="AO100">
        <v>2.2621112999999999E-3</v>
      </c>
      <c r="AP100">
        <v>0.16192693</v>
      </c>
      <c r="AQ100">
        <v>-0.34484710000000002</v>
      </c>
      <c r="AR100">
        <v>-1.9300688E-2</v>
      </c>
      <c r="AS100">
        <v>-5.633614E-2</v>
      </c>
      <c r="AT100">
        <v>-5.7178449999999999E-2</v>
      </c>
      <c r="AU100">
        <v>1.5332882000000001E-2</v>
      </c>
      <c r="AV100">
        <v>-0.11799759</v>
      </c>
      <c r="AW100">
        <v>-0.21448864000000001</v>
      </c>
      <c r="AX100">
        <v>-0.32874486000000003</v>
      </c>
      <c r="AY100">
        <v>-0.21291488</v>
      </c>
      <c r="AZ100">
        <v>5.7158027E-2</v>
      </c>
      <c r="BA100">
        <v>-0.10370962</v>
      </c>
      <c r="BB100">
        <v>0.18238749000000001</v>
      </c>
      <c r="BC100">
        <v>0.2832056</v>
      </c>
      <c r="BD100">
        <v>-0.12380178999999999</v>
      </c>
      <c r="BE100">
        <v>0.108351424</v>
      </c>
      <c r="BF100">
        <v>0.27867160000000002</v>
      </c>
      <c r="BG100">
        <v>-0.11041222000000001</v>
      </c>
      <c r="BH100">
        <v>-8.5754714999999995E-2</v>
      </c>
      <c r="BI100">
        <v>0.31229639999999997</v>
      </c>
      <c r="BJ100">
        <v>-6.7389235000000006E-2</v>
      </c>
      <c r="BK100">
        <v>6.4880069999999998E-2</v>
      </c>
      <c r="BL100">
        <v>0.18568629</v>
      </c>
      <c r="BM100">
        <v>-0.24626002999999999</v>
      </c>
      <c r="BN100">
        <v>-0.26725098000000003</v>
      </c>
      <c r="BO100">
        <v>0.21322838999999999</v>
      </c>
      <c r="BP100">
        <v>0.18576508999999999</v>
      </c>
      <c r="BQ100">
        <v>0.12570447000000001</v>
      </c>
      <c r="BR100">
        <v>-0.17363903999999999</v>
      </c>
      <c r="BS100">
        <v>-2.4726693000000001E-2</v>
      </c>
      <c r="BT100">
        <v>0.38917871999999998</v>
      </c>
      <c r="BU100">
        <v>-8.3756430000000007E-2</v>
      </c>
      <c r="BV100">
        <v>7.0654890000000003E-3</v>
      </c>
      <c r="BW100">
        <v>0.19145603</v>
      </c>
      <c r="BX100">
        <v>-0.20927945000000001</v>
      </c>
      <c r="BY100">
        <v>-0.25590565999999998</v>
      </c>
      <c r="BZ100">
        <v>-0.21811385</v>
      </c>
      <c r="CA100">
        <v>0.30133157999999999</v>
      </c>
      <c r="CB100">
        <v>6.1192694999999998E-2</v>
      </c>
      <c r="CC100">
        <v>0.27613407000000001</v>
      </c>
      <c r="CD100">
        <v>0.26578375999999998</v>
      </c>
      <c r="CE100">
        <v>6.1036970000000003E-2</v>
      </c>
      <c r="CF100">
        <v>4.3887213000000001E-2</v>
      </c>
      <c r="CG100">
        <v>7.1041850000000004E-2</v>
      </c>
      <c r="CH100">
        <v>-0.19461328</v>
      </c>
      <c r="CI100">
        <v>-0.36181128000000001</v>
      </c>
      <c r="CJ100">
        <v>-4.6792607999999999E-2</v>
      </c>
      <c r="CK100">
        <v>0.15272838</v>
      </c>
      <c r="CL100">
        <v>3.3633509999999998E-2</v>
      </c>
      <c r="CM100">
        <v>-3.7011189999999999E-2</v>
      </c>
      <c r="CN100">
        <v>0.19637915</v>
      </c>
      <c r="CO100">
        <v>8.4668346000000005E-2</v>
      </c>
      <c r="CP100">
        <v>5.4425597000000003E-3</v>
      </c>
      <c r="CQ100">
        <v>-0.16933306000000001</v>
      </c>
      <c r="CR100">
        <v>2.5251579999999999E-2</v>
      </c>
      <c r="CS100">
        <v>0.24807847999999999</v>
      </c>
      <c r="CT100">
        <v>0.40492737000000001</v>
      </c>
      <c r="CU100">
        <v>0.27625966000000002</v>
      </c>
      <c r="CV100">
        <v>-0.27272229999999997</v>
      </c>
      <c r="CW100">
        <v>0.21991595999999999</v>
      </c>
      <c r="CX100">
        <v>1.0667545E-3</v>
      </c>
      <c r="CY100">
        <v>-0.10376794</v>
      </c>
      <c r="CZ100">
        <v>-0.17524712000000001</v>
      </c>
      <c r="DA100">
        <v>-0.31466252</v>
      </c>
      <c r="DB100">
        <v>0.40382390000000001</v>
      </c>
      <c r="DC100">
        <v>-3.4822161999999997E-2</v>
      </c>
      <c r="DD100">
        <v>-0.16732125</v>
      </c>
      <c r="DE100">
        <v>0.27938393</v>
      </c>
      <c r="DF100">
        <v>-0.12549672000000001</v>
      </c>
      <c r="DG100">
        <v>-1.2813463000000001E-2</v>
      </c>
      <c r="DH100">
        <v>-4.0138463999999999E-2</v>
      </c>
      <c r="DI100">
        <v>-0.17852092</v>
      </c>
      <c r="DJ100">
        <v>-0.12494149</v>
      </c>
      <c r="DK100">
        <v>0.10340176</v>
      </c>
      <c r="DL100">
        <v>0.10503692000000001</v>
      </c>
      <c r="DM100">
        <v>-0.19924058</v>
      </c>
      <c r="DN100">
        <v>0.42458957000000003</v>
      </c>
      <c r="DO100">
        <v>4.3083306000000002E-2</v>
      </c>
      <c r="DP100">
        <v>-0.2736749</v>
      </c>
      <c r="DQ100">
        <v>0.16894287999999999</v>
      </c>
      <c r="DR100">
        <v>0.22253941999999999</v>
      </c>
      <c r="DS100">
        <v>0.18357998</v>
      </c>
      <c r="DT100">
        <v>-8.8236519999999999E-2</v>
      </c>
      <c r="DU100">
        <v>0.15262704999999999</v>
      </c>
      <c r="DV100">
        <v>-0.12793024</v>
      </c>
      <c r="DW100">
        <v>-0.114021756</v>
      </c>
      <c r="DX100">
        <v>-7.921127E-2</v>
      </c>
      <c r="DY100">
        <v>1.0724655E-2</v>
      </c>
      <c r="DZ100">
        <v>0.27833069999999999</v>
      </c>
    </row>
    <row r="101" spans="1:130" x14ac:dyDescent="0.3">
      <c r="A101">
        <f>Board!$C$10</f>
        <v>0</v>
      </c>
      <c r="C101">
        <v>-6.4762840000000002E-2</v>
      </c>
      <c r="D101">
        <v>2.6321547000000001E-2</v>
      </c>
      <c r="E101">
        <v>-0.17361823000000001</v>
      </c>
      <c r="F101">
        <v>-6.1459186999999998E-2</v>
      </c>
      <c r="G101">
        <v>0.16917533000000001</v>
      </c>
      <c r="H101">
        <v>0.1202259</v>
      </c>
      <c r="I101">
        <v>1.8451479999999999E-2</v>
      </c>
      <c r="J101">
        <v>0.14129317999999999</v>
      </c>
      <c r="K101">
        <v>0.12265645999999999</v>
      </c>
      <c r="L101">
        <v>6.6868514000000004E-2</v>
      </c>
      <c r="M101">
        <v>9.8625279999999996E-2</v>
      </c>
      <c r="N101">
        <v>0.10206108</v>
      </c>
      <c r="O101">
        <v>0.15499452999999999</v>
      </c>
      <c r="P101">
        <v>-5.4701514999999999E-2</v>
      </c>
      <c r="Q101">
        <v>6.5253019999999995E-2</v>
      </c>
      <c r="R101">
        <v>4.2510116000000001E-3</v>
      </c>
      <c r="S101">
        <v>5.6260421999999997E-2</v>
      </c>
      <c r="T101">
        <v>0.104967564</v>
      </c>
      <c r="U101">
        <v>8.8407025E-2</v>
      </c>
      <c r="V101">
        <v>-0.124952175</v>
      </c>
      <c r="W101">
        <v>0.15171316000000001</v>
      </c>
      <c r="X101">
        <v>-0.10851634</v>
      </c>
      <c r="Y101">
        <v>-0.33660879999999999</v>
      </c>
      <c r="Z101">
        <v>-0.12605702999999999</v>
      </c>
      <c r="AA101">
        <v>0.24769889</v>
      </c>
      <c r="AB101">
        <v>0.19682224000000001</v>
      </c>
      <c r="AC101">
        <v>-8.1471150000000006E-2</v>
      </c>
      <c r="AD101">
        <v>0.16234174000000001</v>
      </c>
      <c r="AE101">
        <v>0.25860815999999998</v>
      </c>
      <c r="AF101">
        <v>-0.27992854</v>
      </c>
      <c r="AG101">
        <v>7.3178485000000001E-2</v>
      </c>
      <c r="AH101">
        <v>-2.2104670999999999E-2</v>
      </c>
      <c r="AI101">
        <v>-8.503136E-2</v>
      </c>
      <c r="AJ101">
        <v>-0.18231222</v>
      </c>
      <c r="AK101">
        <v>-0.12661790000000001</v>
      </c>
      <c r="AL101">
        <v>0.19511612</v>
      </c>
      <c r="AM101">
        <v>-9.6965950000000006E-3</v>
      </c>
      <c r="AN101">
        <v>0.17331379999999999</v>
      </c>
      <c r="AO101">
        <v>-0.2294194</v>
      </c>
      <c r="AP101">
        <v>0.119636044</v>
      </c>
      <c r="AQ101">
        <v>0.11913019</v>
      </c>
      <c r="AR101">
        <v>-0.18309227</v>
      </c>
      <c r="AS101">
        <v>9.2401919999999999E-2</v>
      </c>
      <c r="AT101">
        <v>-0.24548417</v>
      </c>
      <c r="AU101">
        <v>-9.68387E-2</v>
      </c>
      <c r="AV101">
        <v>-0.25765060000000001</v>
      </c>
      <c r="AW101">
        <v>1.3295421999999999E-2</v>
      </c>
      <c r="AX101">
        <v>1.9269583999999999E-2</v>
      </c>
      <c r="AY101">
        <v>-9.6774289999999999E-2</v>
      </c>
      <c r="AZ101">
        <v>3.3512970000000003E-2</v>
      </c>
      <c r="BA101">
        <v>-8.7509914999999994E-2</v>
      </c>
      <c r="BB101">
        <v>3.3200796999999997E-2</v>
      </c>
      <c r="BC101">
        <v>-0.105402224</v>
      </c>
      <c r="BD101">
        <v>-5.6573413000000003E-3</v>
      </c>
      <c r="BE101">
        <v>-8.7440439999999994E-3</v>
      </c>
      <c r="BF101">
        <v>0.24524902000000001</v>
      </c>
      <c r="BG101">
        <v>-0.18105768999999999</v>
      </c>
      <c r="BH101">
        <v>-9.682839E-2</v>
      </c>
      <c r="BI101">
        <v>5.8340932999999998E-2</v>
      </c>
      <c r="BJ101">
        <v>-3.4076246999999997E-2</v>
      </c>
      <c r="BK101">
        <v>0.18912381</v>
      </c>
      <c r="BL101">
        <v>0.11958456000000001</v>
      </c>
      <c r="BM101">
        <v>0.21355979999999999</v>
      </c>
      <c r="BN101">
        <v>-6.2275114999999999E-2</v>
      </c>
      <c r="BO101">
        <v>0.28390496999999998</v>
      </c>
      <c r="BP101">
        <v>0.14105554000000001</v>
      </c>
      <c r="BQ101">
        <v>9.9645293999999995E-2</v>
      </c>
      <c r="BR101">
        <v>0.1646553</v>
      </c>
      <c r="BS101">
        <v>-9.9973599999999996E-2</v>
      </c>
      <c r="BT101">
        <v>0.33713377</v>
      </c>
      <c r="BU101">
        <v>-0.22552258</v>
      </c>
      <c r="BV101">
        <v>0.16645293</v>
      </c>
      <c r="BW101">
        <v>-0.18236226</v>
      </c>
      <c r="BX101">
        <v>-0.40110024999999999</v>
      </c>
      <c r="BY101">
        <v>2.2815346999999998E-3</v>
      </c>
      <c r="BZ101">
        <v>-0.25606498</v>
      </c>
      <c r="CA101">
        <v>-0.19016464</v>
      </c>
      <c r="CB101">
        <v>0.22420181</v>
      </c>
      <c r="CC101">
        <v>3.314421E-2</v>
      </c>
      <c r="CD101">
        <v>0.27403434999999998</v>
      </c>
      <c r="CE101">
        <v>1.5926404000000002E-2</v>
      </c>
      <c r="CF101">
        <v>0.15017131</v>
      </c>
      <c r="CG101">
        <v>0.13909500999999999</v>
      </c>
      <c r="CH101">
        <v>-0.19185743</v>
      </c>
      <c r="CI101">
        <v>4.7349670000000003E-2</v>
      </c>
      <c r="CJ101">
        <v>2.2342019000000001E-2</v>
      </c>
      <c r="CK101">
        <v>-0.13451634000000001</v>
      </c>
      <c r="CL101">
        <v>0.36170474000000002</v>
      </c>
      <c r="CM101">
        <v>-0.19769970000000001</v>
      </c>
      <c r="CN101">
        <v>0.27397007000000001</v>
      </c>
      <c r="CO101">
        <v>-0.108562015</v>
      </c>
      <c r="CP101">
        <v>-0.16350396</v>
      </c>
      <c r="CQ101">
        <v>-4.149299E-2</v>
      </c>
      <c r="CR101">
        <v>-1.5427821E-2</v>
      </c>
      <c r="CS101">
        <v>8.4617620000000004E-2</v>
      </c>
      <c r="CT101">
        <v>2.3530927E-2</v>
      </c>
      <c r="CU101">
        <v>0.15752287000000001</v>
      </c>
      <c r="CV101">
        <v>-0.19038679</v>
      </c>
      <c r="CW101">
        <v>3.3693257999999997E-2</v>
      </c>
      <c r="CX101">
        <v>-0.2177318</v>
      </c>
      <c r="CY101">
        <v>-0.30239037000000002</v>
      </c>
      <c r="CZ101">
        <v>-9.5806404999999997E-2</v>
      </c>
      <c r="DA101">
        <v>3.5660650000000002E-2</v>
      </c>
      <c r="DB101">
        <v>0.17942158999999999</v>
      </c>
      <c r="DC101">
        <v>-0.14425263999999999</v>
      </c>
      <c r="DD101">
        <v>-0.14454417999999999</v>
      </c>
      <c r="DE101">
        <v>0.41054425</v>
      </c>
      <c r="DF101">
        <v>0.13893259999999999</v>
      </c>
      <c r="DG101">
        <v>5.9251605999999998E-2</v>
      </c>
      <c r="DH101">
        <v>-2.7008905999999999E-2</v>
      </c>
      <c r="DI101">
        <v>-3.7700202000000002E-2</v>
      </c>
      <c r="DJ101">
        <v>2.0909411999999999E-2</v>
      </c>
      <c r="DK101">
        <v>1.088012E-2</v>
      </c>
      <c r="DL101">
        <v>-2.6260950000000002E-2</v>
      </c>
      <c r="DM101">
        <v>-0.17333585000000001</v>
      </c>
      <c r="DN101">
        <v>6.1257581999999998E-2</v>
      </c>
      <c r="DO101">
        <v>9.7590629999999998E-2</v>
      </c>
      <c r="DP101">
        <v>-0.164101</v>
      </c>
      <c r="DQ101">
        <v>0.10368883600000001</v>
      </c>
      <c r="DR101">
        <v>0.34308934000000002</v>
      </c>
      <c r="DS101">
        <v>-0.15495321000000001</v>
      </c>
      <c r="DT101">
        <v>5.3339655999999999E-2</v>
      </c>
      <c r="DU101">
        <v>-0.24859959000000001</v>
      </c>
      <c r="DV101">
        <v>-0.15554814</v>
      </c>
      <c r="DW101">
        <v>8.6124993999999996E-2</v>
      </c>
      <c r="DX101">
        <v>3.4693290000000002E-2</v>
      </c>
      <c r="DY101">
        <v>0.10267121</v>
      </c>
      <c r="DZ101">
        <v>-7.2069359999999999E-2</v>
      </c>
    </row>
    <row r="102" spans="1:130" x14ac:dyDescent="0.3">
      <c r="A102">
        <f>Board!$D$10</f>
        <v>0</v>
      </c>
      <c r="C102">
        <v>-5.2456750000000003E-2</v>
      </c>
      <c r="D102">
        <v>-0.10903689</v>
      </c>
      <c r="E102">
        <v>6.6374210000000003E-2</v>
      </c>
      <c r="F102">
        <v>-0.360815</v>
      </c>
      <c r="G102">
        <v>0.12850429999999999</v>
      </c>
      <c r="H102">
        <v>0.14273779</v>
      </c>
      <c r="I102">
        <v>0.11904168</v>
      </c>
      <c r="J102">
        <v>-2.0331059999999998E-3</v>
      </c>
      <c r="K102">
        <v>2.8035042999999999E-2</v>
      </c>
      <c r="L102">
        <v>-9.7475210000000007E-2</v>
      </c>
      <c r="M102">
        <v>-0.17000156999999999</v>
      </c>
      <c r="N102">
        <v>0.30503067</v>
      </c>
      <c r="O102">
        <v>-6.5713770000000005E-2</v>
      </c>
      <c r="P102">
        <v>-0.15554879999999999</v>
      </c>
      <c r="Q102">
        <v>-3.2473875000000002E-3</v>
      </c>
      <c r="R102">
        <v>3.1008152000000001E-4</v>
      </c>
      <c r="S102">
        <v>5.2115950000000001E-2</v>
      </c>
      <c r="T102">
        <v>-0.26239446</v>
      </c>
      <c r="U102">
        <v>-3.2237402999999998E-2</v>
      </c>
      <c r="V102">
        <v>-0.14436233000000001</v>
      </c>
      <c r="W102">
        <v>0.10050098</v>
      </c>
      <c r="X102">
        <v>-0.20838197</v>
      </c>
      <c r="Y102">
        <v>-0.3446979</v>
      </c>
      <c r="Z102">
        <v>0.30204150000000002</v>
      </c>
      <c r="AA102">
        <v>0.15241215999999999</v>
      </c>
      <c r="AB102">
        <v>-6.9977485000000006E-2</v>
      </c>
      <c r="AC102">
        <v>9.1652125000000001E-2</v>
      </c>
      <c r="AD102">
        <v>7.901553E-2</v>
      </c>
      <c r="AE102">
        <v>0.14652378999999999</v>
      </c>
      <c r="AF102">
        <v>-0.46721170000000001</v>
      </c>
      <c r="AG102">
        <v>-0.14062667000000001</v>
      </c>
      <c r="AH102">
        <v>0.19315831</v>
      </c>
      <c r="AI102">
        <v>5.9091467000000003E-3</v>
      </c>
      <c r="AJ102">
        <v>0.13398376000000001</v>
      </c>
      <c r="AK102">
        <v>-0.15173379000000001</v>
      </c>
      <c r="AL102">
        <v>-0.31103793000000002</v>
      </c>
      <c r="AM102">
        <v>-0.28735968000000001</v>
      </c>
      <c r="AN102">
        <v>0.10208323599999999</v>
      </c>
      <c r="AO102">
        <v>-0.31697904999999998</v>
      </c>
      <c r="AP102">
        <v>0.29356363000000002</v>
      </c>
      <c r="AQ102">
        <v>0.16920176000000001</v>
      </c>
      <c r="AR102">
        <v>-0.14760785000000001</v>
      </c>
      <c r="AS102">
        <v>0.31761627999999997</v>
      </c>
      <c r="AT102">
        <v>0.13703446</v>
      </c>
      <c r="AU102">
        <v>-0.12145647</v>
      </c>
      <c r="AV102">
        <v>-0.21150178</v>
      </c>
      <c r="AW102">
        <v>-7.7925919999999996E-2</v>
      </c>
      <c r="AX102">
        <v>-3.5083240000000002E-2</v>
      </c>
      <c r="AY102">
        <v>-0.13213248999999999</v>
      </c>
      <c r="AZ102">
        <v>2.5444588000000001E-2</v>
      </c>
      <c r="BA102">
        <v>-0.149589</v>
      </c>
      <c r="BB102">
        <v>0.25355378000000001</v>
      </c>
      <c r="BC102">
        <v>-0.11454589</v>
      </c>
      <c r="BD102">
        <v>-4.2895727000000002E-2</v>
      </c>
      <c r="BE102">
        <v>0.11079653</v>
      </c>
      <c r="BF102">
        <v>1.3158802E-3</v>
      </c>
      <c r="BG102">
        <v>-0.34790900000000002</v>
      </c>
      <c r="BH102">
        <v>0.15375693000000001</v>
      </c>
      <c r="BI102">
        <v>-5.989448E-2</v>
      </c>
      <c r="BJ102">
        <v>-0.33543994999999999</v>
      </c>
      <c r="BK102">
        <v>-3.4998500000000002E-2</v>
      </c>
      <c r="BL102">
        <v>8.7085800000000005E-2</v>
      </c>
      <c r="BM102">
        <v>-0.11246531</v>
      </c>
      <c r="BN102">
        <v>-0.36724946000000003</v>
      </c>
      <c r="BO102">
        <v>0.30498543</v>
      </c>
      <c r="BP102">
        <v>0.29282838</v>
      </c>
      <c r="BQ102">
        <v>0.22243135</v>
      </c>
      <c r="BR102">
        <v>0.21755252999999999</v>
      </c>
      <c r="BS102">
        <v>0.11238768</v>
      </c>
      <c r="BT102">
        <v>3.8607200000000001E-2</v>
      </c>
      <c r="BU102">
        <v>-0.14979397999999999</v>
      </c>
      <c r="BV102">
        <v>-0.16987843999999999</v>
      </c>
      <c r="BW102">
        <v>-0.20227781</v>
      </c>
      <c r="BX102">
        <v>-0.21061282000000001</v>
      </c>
      <c r="BY102">
        <v>0.35176605</v>
      </c>
      <c r="BZ102">
        <v>-0.31178032999999999</v>
      </c>
      <c r="CA102">
        <v>-0.17267270000000001</v>
      </c>
      <c r="CB102">
        <v>0.14521075999999999</v>
      </c>
      <c r="CC102">
        <v>5.5371400000000001E-2</v>
      </c>
      <c r="CD102">
        <v>-3.0572990000000001E-2</v>
      </c>
      <c r="CE102">
        <v>7.9101840000000007E-2</v>
      </c>
      <c r="CF102">
        <v>-4.7508693999999997E-2</v>
      </c>
      <c r="CG102">
        <v>0.13277201</v>
      </c>
      <c r="CH102">
        <v>-0.52527325999999996</v>
      </c>
      <c r="CI102">
        <v>4.1019022000000002E-2</v>
      </c>
      <c r="CJ102">
        <v>0.24179982</v>
      </c>
      <c r="CK102">
        <v>-0.24376945</v>
      </c>
      <c r="CL102">
        <v>0.19043062999999999</v>
      </c>
      <c r="CM102">
        <v>-0.12089699</v>
      </c>
      <c r="CN102">
        <v>0.16892146</v>
      </c>
      <c r="CO102">
        <v>0.109436005</v>
      </c>
      <c r="CP102">
        <v>-0.19716752000000001</v>
      </c>
      <c r="CQ102">
        <v>0.11761758</v>
      </c>
      <c r="CR102">
        <v>0.12706598999999999</v>
      </c>
      <c r="CS102">
        <v>-2.3339809999999999E-2</v>
      </c>
      <c r="CT102">
        <v>-0.26193485</v>
      </c>
      <c r="CU102">
        <v>-1.5386178E-2</v>
      </c>
      <c r="CV102">
        <v>1.1803246999999999E-2</v>
      </c>
      <c r="CW102">
        <v>0.14708795</v>
      </c>
      <c r="CX102">
        <v>7.9405255999999994E-2</v>
      </c>
      <c r="CY102">
        <v>-0.25309533000000001</v>
      </c>
      <c r="CZ102">
        <v>-0.17172886000000001</v>
      </c>
      <c r="DA102">
        <v>-0.17146505000000001</v>
      </c>
      <c r="DB102">
        <v>7.0757754000000006E-2</v>
      </c>
      <c r="DC102">
        <v>2.0068880000000001E-2</v>
      </c>
      <c r="DD102">
        <v>-0.15247698000000001</v>
      </c>
      <c r="DE102">
        <v>0.27395666000000002</v>
      </c>
      <c r="DF102">
        <v>9.6709180000000006E-2</v>
      </c>
      <c r="DG102">
        <v>6.4492765999999997E-3</v>
      </c>
      <c r="DH102">
        <v>-0.21180038000000001</v>
      </c>
      <c r="DI102">
        <v>-0.14845411</v>
      </c>
      <c r="DJ102">
        <v>7.2174230000000006E-2</v>
      </c>
      <c r="DK102">
        <v>0.20130733000000001</v>
      </c>
      <c r="DL102">
        <v>4.1347479999999997E-3</v>
      </c>
      <c r="DM102">
        <v>-0.11385801399999999</v>
      </c>
      <c r="DN102">
        <v>-0.19220892000000001</v>
      </c>
      <c r="DO102">
        <v>6.6852560000000005E-2</v>
      </c>
      <c r="DP102">
        <v>8.1686159999999994E-2</v>
      </c>
      <c r="DQ102">
        <v>3.8014949999999999E-2</v>
      </c>
      <c r="DR102">
        <v>0.36714714999999998</v>
      </c>
      <c r="DS102">
        <v>2.9716408E-2</v>
      </c>
      <c r="DT102">
        <v>0.14633536</v>
      </c>
      <c r="DU102">
        <v>-4.5172892999999999E-2</v>
      </c>
      <c r="DV102">
        <v>7.9257850000000005E-2</v>
      </c>
      <c r="DW102">
        <v>-0.16542630999999999</v>
      </c>
      <c r="DX102">
        <v>7.2868970000000005E-2</v>
      </c>
      <c r="DY102">
        <v>9.5296160000000005E-2</v>
      </c>
      <c r="DZ102">
        <v>-6.9638889999999995E-2</v>
      </c>
    </row>
    <row r="103" spans="1:130" x14ac:dyDescent="0.3">
      <c r="A103">
        <f>Board!$E$10</f>
        <v>0</v>
      </c>
      <c r="C103">
        <v>-0.25604102000000001</v>
      </c>
      <c r="D103">
        <v>6.7014400000000002E-2</v>
      </c>
      <c r="E103">
        <v>0.14588814999999999</v>
      </c>
      <c r="F103">
        <v>-0.34504934999999998</v>
      </c>
      <c r="G103">
        <v>-9.176745E-2</v>
      </c>
      <c r="H103">
        <v>5.2382480000000002E-2</v>
      </c>
      <c r="I103">
        <v>-3.5680009999999998E-2</v>
      </c>
      <c r="J103">
        <v>-0.16903563999999999</v>
      </c>
      <c r="K103">
        <v>6.1123240000000002E-2</v>
      </c>
      <c r="L103">
        <v>-0.26465103000000001</v>
      </c>
      <c r="M103">
        <v>-0.26289243000000001</v>
      </c>
      <c r="N103">
        <v>0.22405391999999999</v>
      </c>
      <c r="O103">
        <v>-1.3156226E-2</v>
      </c>
      <c r="P103">
        <v>-0.27702144000000001</v>
      </c>
      <c r="Q103">
        <v>-2.4965116999999998E-2</v>
      </c>
      <c r="R103">
        <v>0.15953813</v>
      </c>
      <c r="S103">
        <v>-0.31125336999999997</v>
      </c>
      <c r="T103">
        <v>-0.17143622</v>
      </c>
      <c r="U103">
        <v>-1.8760394E-2</v>
      </c>
      <c r="V103">
        <v>-4.3386605000000002E-2</v>
      </c>
      <c r="W103">
        <v>1.3133894E-2</v>
      </c>
      <c r="X103">
        <v>8.6929549999999994E-2</v>
      </c>
      <c r="Y103">
        <v>-0.14987697999999999</v>
      </c>
      <c r="Z103">
        <v>0.19883001</v>
      </c>
      <c r="AA103">
        <v>0.11158715</v>
      </c>
      <c r="AB103">
        <v>8.0912403999999993E-2</v>
      </c>
      <c r="AC103">
        <v>-0.10314283</v>
      </c>
      <c r="AD103">
        <v>0.13451109999999999</v>
      </c>
      <c r="AE103">
        <v>4.6714223999999999E-2</v>
      </c>
      <c r="AF103">
        <v>-0.19791998</v>
      </c>
      <c r="AG103">
        <v>-1.1908616E-2</v>
      </c>
      <c r="AH103">
        <v>0.16120762</v>
      </c>
      <c r="AI103">
        <v>9.5003630000000006E-2</v>
      </c>
      <c r="AJ103">
        <v>-0.29288029999999998</v>
      </c>
      <c r="AK103">
        <v>1.9455832999999999E-2</v>
      </c>
      <c r="AL103">
        <v>-0.31970282999999999</v>
      </c>
      <c r="AM103">
        <v>9.3272209999999994E-2</v>
      </c>
      <c r="AN103">
        <v>7.2111240000000002E-3</v>
      </c>
      <c r="AO103">
        <v>-0.41917284999999999</v>
      </c>
      <c r="AP103">
        <v>0.32345822000000002</v>
      </c>
      <c r="AQ103">
        <v>0.116674714</v>
      </c>
      <c r="AR103">
        <v>8.2781090000000002E-2</v>
      </c>
      <c r="AS103">
        <v>0.12453834</v>
      </c>
      <c r="AT103">
        <v>4.1561976E-2</v>
      </c>
      <c r="AU103">
        <v>-6.8228014000000003E-2</v>
      </c>
      <c r="AV103">
        <v>-0.18027048000000001</v>
      </c>
      <c r="AW103">
        <v>-3.6811604999999997E-2</v>
      </c>
      <c r="AX103">
        <v>-0.24255895999999999</v>
      </c>
      <c r="AY103">
        <v>8.0545100000000008E-3</v>
      </c>
      <c r="AZ103">
        <v>4.541502E-2</v>
      </c>
      <c r="BA103">
        <v>-0.21263467999999999</v>
      </c>
      <c r="BB103">
        <v>-1.9367722999999999E-3</v>
      </c>
      <c r="BC103">
        <v>0.1589122</v>
      </c>
      <c r="BD103">
        <v>0.16293176000000001</v>
      </c>
      <c r="BE103">
        <v>1.2372899999999999E-2</v>
      </c>
      <c r="BF103">
        <v>-0.19851642999999999</v>
      </c>
      <c r="BG103">
        <v>-0.48387074000000002</v>
      </c>
      <c r="BH103">
        <v>2.0724692999999999E-2</v>
      </c>
      <c r="BI103">
        <v>-0.12943320999999999</v>
      </c>
      <c r="BJ103">
        <v>-0.26124935999999999</v>
      </c>
      <c r="BK103">
        <v>-4.6111617000000001E-2</v>
      </c>
      <c r="BL103">
        <v>-0.103355154</v>
      </c>
      <c r="BM103">
        <v>-5.7386909999999999E-2</v>
      </c>
      <c r="BN103">
        <v>-0.48832846000000002</v>
      </c>
      <c r="BO103">
        <v>0.24003473</v>
      </c>
      <c r="BP103">
        <v>0.10489239</v>
      </c>
      <c r="BQ103">
        <v>4.429545E-2</v>
      </c>
      <c r="BR103">
        <v>4.5985136000000003E-2</v>
      </c>
      <c r="BS103">
        <v>0.13521475999999999</v>
      </c>
      <c r="BT103">
        <v>9.0270130000000004E-2</v>
      </c>
      <c r="BU103">
        <v>-4.3049082000000002E-2</v>
      </c>
      <c r="BV103">
        <v>-0.113997445</v>
      </c>
      <c r="BW103">
        <v>-0.23515</v>
      </c>
      <c r="BX103">
        <v>-0.12978956</v>
      </c>
      <c r="BY103">
        <v>-1.547835E-2</v>
      </c>
      <c r="BZ103">
        <v>-3.8215103999999999E-3</v>
      </c>
      <c r="CA103">
        <v>-0.22925316000000001</v>
      </c>
      <c r="CB103">
        <v>0.15856387999999999</v>
      </c>
      <c r="CC103">
        <v>6.1765384E-2</v>
      </c>
      <c r="CD103">
        <v>8.6686520000000003E-2</v>
      </c>
      <c r="CE103">
        <v>-0.12137626</v>
      </c>
      <c r="CF103">
        <v>-0.11293134000000001</v>
      </c>
      <c r="CG103">
        <v>6.4679189999999998E-2</v>
      </c>
      <c r="CH103">
        <v>-0.44588620000000001</v>
      </c>
      <c r="CI103">
        <v>-0.22277182000000001</v>
      </c>
      <c r="CJ103">
        <v>0.17509545000000001</v>
      </c>
      <c r="CK103">
        <v>-0.26916196999999997</v>
      </c>
      <c r="CL103">
        <v>9.2963149999999994E-2</v>
      </c>
      <c r="CM103">
        <v>-1.45468535E-2</v>
      </c>
      <c r="CN103">
        <v>0.11570249000000001</v>
      </c>
      <c r="CO103">
        <v>-5.1664464E-2</v>
      </c>
      <c r="CP103">
        <v>2.1564625E-2</v>
      </c>
      <c r="CQ103">
        <v>2.6620224000000001E-3</v>
      </c>
      <c r="CR103">
        <v>0.23657600000000001</v>
      </c>
      <c r="CS103">
        <v>0.1367816</v>
      </c>
      <c r="CT103">
        <v>-0.96124180000000004</v>
      </c>
      <c r="CU103">
        <v>0.103373535</v>
      </c>
      <c r="CV103">
        <v>7.1813814000000004E-2</v>
      </c>
      <c r="CW103">
        <v>6.7127495999999995E-2</v>
      </c>
      <c r="CX103">
        <v>-7.8425630000000003E-3</v>
      </c>
      <c r="CY103">
        <v>-0.28181988000000002</v>
      </c>
      <c r="CZ103">
        <v>-0.12249837</v>
      </c>
      <c r="DA103">
        <v>-1.2824174000000001E-2</v>
      </c>
      <c r="DB103">
        <v>-0.20741815999999999</v>
      </c>
      <c r="DC103">
        <v>-0.11920251</v>
      </c>
      <c r="DD103">
        <v>-0.11458133</v>
      </c>
      <c r="DE103">
        <v>6.9393839999999998E-2</v>
      </c>
      <c r="DF103">
        <v>7.5006409999999996E-2</v>
      </c>
      <c r="DG103">
        <v>5.7629958000000002E-2</v>
      </c>
      <c r="DH103">
        <v>-8.3377419999999994E-2</v>
      </c>
      <c r="DI103">
        <v>7.4696410000000005E-2</v>
      </c>
      <c r="DJ103">
        <v>0.24941928999999999</v>
      </c>
      <c r="DK103">
        <v>-2.3321297000000001E-2</v>
      </c>
      <c r="DL103">
        <v>1.6593925999999998E-2</v>
      </c>
      <c r="DM103">
        <v>-0.12040537599999999</v>
      </c>
      <c r="DN103">
        <v>6.684242E-2</v>
      </c>
      <c r="DO103">
        <v>0.15041892000000001</v>
      </c>
      <c r="DP103">
        <v>4.1771076999999997E-2</v>
      </c>
      <c r="DQ103">
        <v>3.2874223000000001E-2</v>
      </c>
      <c r="DR103">
        <v>0.33763664999999998</v>
      </c>
      <c r="DS103">
        <v>0.24185434</v>
      </c>
      <c r="DT103">
        <v>7.3509149999999995E-2</v>
      </c>
      <c r="DU103">
        <v>-0.11507232000000001</v>
      </c>
      <c r="DV103">
        <v>3.3711996000000001E-2</v>
      </c>
      <c r="DW103">
        <v>-5.9768092000000002E-2</v>
      </c>
      <c r="DX103">
        <v>5.3226605000000003E-2</v>
      </c>
      <c r="DY103">
        <v>0.15627769999999999</v>
      </c>
      <c r="DZ103">
        <v>6.516777E-2</v>
      </c>
    </row>
    <row r="104" spans="1:130" x14ac:dyDescent="0.3">
      <c r="A104">
        <f>Board!$F$10</f>
        <v>0</v>
      </c>
      <c r="C104">
        <v>-9.6720680000000003E-2</v>
      </c>
      <c r="D104">
        <v>0.11823678999999999</v>
      </c>
      <c r="E104">
        <v>-0.17596258000000001</v>
      </c>
      <c r="F104">
        <v>-0.57004416000000002</v>
      </c>
      <c r="G104">
        <v>-0.24035190000000001</v>
      </c>
      <c r="H104">
        <v>4.2971566000000003E-2</v>
      </c>
      <c r="I104">
        <v>-4.9850400000000003E-2</v>
      </c>
      <c r="J104">
        <v>-0.37471326999999999</v>
      </c>
      <c r="K104">
        <v>-0.11314268</v>
      </c>
      <c r="L104">
        <v>-0.30463043000000001</v>
      </c>
      <c r="M104">
        <v>-0.48968443</v>
      </c>
      <c r="N104">
        <v>0.15411084999999999</v>
      </c>
      <c r="O104">
        <v>-0.26524376999999999</v>
      </c>
      <c r="P104">
        <v>-0.39832440000000002</v>
      </c>
      <c r="Q104">
        <v>4.12171E-2</v>
      </c>
      <c r="R104">
        <v>0.18740009999999999</v>
      </c>
      <c r="S104">
        <v>-0.23312411999999999</v>
      </c>
      <c r="T104">
        <v>-0.19475020000000001</v>
      </c>
      <c r="U104">
        <v>-5.0171130000000001E-3</v>
      </c>
      <c r="V104">
        <v>-6.4088460000000002E-3</v>
      </c>
      <c r="W104">
        <v>-7.3362430000000006E-2</v>
      </c>
      <c r="X104">
        <v>-0.13074109</v>
      </c>
      <c r="Y104">
        <v>9.4062190000000004E-2</v>
      </c>
      <c r="Z104">
        <v>-9.7084329999999996E-2</v>
      </c>
      <c r="AA104">
        <v>-4.4599944000000002E-3</v>
      </c>
      <c r="AB104">
        <v>-3.0172752000000001E-2</v>
      </c>
      <c r="AC104">
        <v>3.9719905999999999E-2</v>
      </c>
      <c r="AD104">
        <v>9.9835300000000002E-2</v>
      </c>
      <c r="AE104">
        <v>5.1878321999999998E-2</v>
      </c>
      <c r="AF104">
        <v>5.6612346000000001E-2</v>
      </c>
      <c r="AG104">
        <v>-0.1855559</v>
      </c>
      <c r="AH104">
        <v>0.17456445000000001</v>
      </c>
      <c r="AI104">
        <v>-4.0030334000000001E-2</v>
      </c>
      <c r="AJ104">
        <v>-0.43490875000000001</v>
      </c>
      <c r="AK104">
        <v>0.29399713999999999</v>
      </c>
      <c r="AL104">
        <v>0.28150832999999997</v>
      </c>
      <c r="AM104">
        <v>8.3009369999999999E-2</v>
      </c>
      <c r="AN104">
        <v>-3.9229468000000003E-2</v>
      </c>
      <c r="AO104">
        <v>-0.47236080000000003</v>
      </c>
      <c r="AP104">
        <v>0.15684792</v>
      </c>
      <c r="AQ104">
        <v>-7.8063669999999998E-3</v>
      </c>
      <c r="AR104">
        <v>0.15493266</v>
      </c>
      <c r="AS104">
        <v>-4.9630290000000001E-2</v>
      </c>
      <c r="AT104">
        <v>1.9656980000000001E-3</v>
      </c>
      <c r="AU104">
        <v>9.3732940000000001E-2</v>
      </c>
      <c r="AV104">
        <v>6.5329860000000003E-2</v>
      </c>
      <c r="AW104">
        <v>-0.32503443999999998</v>
      </c>
      <c r="AX104">
        <v>2.5021689999999999E-2</v>
      </c>
      <c r="AY104">
        <v>-4.6131653000000003E-3</v>
      </c>
      <c r="AZ104">
        <v>3.1778883000000001E-2</v>
      </c>
      <c r="BA104">
        <v>2.466519E-2</v>
      </c>
      <c r="BB104">
        <v>-4.700621E-2</v>
      </c>
      <c r="BC104">
        <v>9.0689329999999999E-2</v>
      </c>
      <c r="BD104">
        <v>4.0643446E-2</v>
      </c>
      <c r="BE104">
        <v>-5.4849792000000001E-2</v>
      </c>
      <c r="BF104">
        <v>-0.34717408</v>
      </c>
      <c r="BG104">
        <v>-0.51249975000000003</v>
      </c>
      <c r="BH104">
        <v>1.657136E-2</v>
      </c>
      <c r="BI104">
        <v>-0.17409068</v>
      </c>
      <c r="BJ104">
        <v>-0.16554605999999999</v>
      </c>
      <c r="BK104">
        <v>-8.2134399999999996E-2</v>
      </c>
      <c r="BL104">
        <v>-0.11956029999999999</v>
      </c>
      <c r="BM104">
        <v>-3.1519183000000002E-3</v>
      </c>
      <c r="BN104">
        <v>-0.49246117</v>
      </c>
      <c r="BO104">
        <v>0.30487441999999998</v>
      </c>
      <c r="BP104">
        <v>-0.13123839000000001</v>
      </c>
      <c r="BQ104">
        <v>0.23423778000000001</v>
      </c>
      <c r="BR104">
        <v>6.1929680000000001E-2</v>
      </c>
      <c r="BS104">
        <v>3.2727684999999999E-2</v>
      </c>
      <c r="BT104">
        <v>0.16517453000000001</v>
      </c>
      <c r="BU104">
        <v>-5.1333419999999998E-2</v>
      </c>
      <c r="BV104">
        <v>-0.22210252</v>
      </c>
      <c r="BW104">
        <v>-5.3295284999999998E-2</v>
      </c>
      <c r="BX104">
        <v>9.6907439999999997E-2</v>
      </c>
      <c r="BY104">
        <v>8.2340839999999992E-3</v>
      </c>
      <c r="BZ104">
        <v>0.11187772</v>
      </c>
      <c r="CA104">
        <v>-0.10311643</v>
      </c>
      <c r="CB104">
        <v>-0.18224385000000001</v>
      </c>
      <c r="CC104">
        <v>9.4142439999999994E-2</v>
      </c>
      <c r="CD104">
        <v>-4.1337814000000001E-2</v>
      </c>
      <c r="CE104">
        <v>-7.4691450000000006E-2</v>
      </c>
      <c r="CF104">
        <v>-3.0979113999999999E-2</v>
      </c>
      <c r="CG104">
        <v>-5.8571999999999999E-2</v>
      </c>
      <c r="CH104">
        <v>0.15540913000000001</v>
      </c>
      <c r="CI104">
        <v>-9.6078040000000003E-2</v>
      </c>
      <c r="CJ104">
        <v>-5.506345E-2</v>
      </c>
      <c r="CK104">
        <v>-0.21086590999999999</v>
      </c>
      <c r="CL104">
        <v>1.8503135000000001E-3</v>
      </c>
      <c r="CM104">
        <v>0.19231467999999999</v>
      </c>
      <c r="CN104">
        <v>-0.10796894</v>
      </c>
      <c r="CO104">
        <v>-5.5865392E-2</v>
      </c>
      <c r="CP104">
        <v>-0.12702951000000001</v>
      </c>
      <c r="CQ104">
        <v>-7.8081040000000004E-2</v>
      </c>
      <c r="CR104">
        <v>-4.3571319999999997E-2</v>
      </c>
      <c r="CS104">
        <v>8.3501989999999998E-2</v>
      </c>
      <c r="CT104">
        <v>-0.77306889999999995</v>
      </c>
      <c r="CU104">
        <v>-7.9220349999999995E-2</v>
      </c>
      <c r="CV104">
        <v>4.2897734999999999E-2</v>
      </c>
      <c r="CW104">
        <v>0.18937100000000001</v>
      </c>
      <c r="CX104">
        <v>-6.0979854000000003E-3</v>
      </c>
      <c r="CY104">
        <v>-0.30926004000000001</v>
      </c>
      <c r="CZ104">
        <v>1.2982364E-2</v>
      </c>
      <c r="DA104">
        <v>0.16179705999999999</v>
      </c>
      <c r="DB104">
        <v>-0.12969448</v>
      </c>
      <c r="DC104">
        <v>-0.16163892999999999</v>
      </c>
      <c r="DD104">
        <v>0.26786179999999998</v>
      </c>
      <c r="DE104">
        <v>6.2587550000000006E-2</v>
      </c>
      <c r="DF104">
        <v>1.0389143999999999E-2</v>
      </c>
      <c r="DG104">
        <v>4.4288309999999997E-2</v>
      </c>
      <c r="DH104">
        <v>6.5097000000000002E-2</v>
      </c>
      <c r="DI104">
        <v>9.7389680000000006E-2</v>
      </c>
      <c r="DJ104">
        <v>-0.13255835999999999</v>
      </c>
      <c r="DK104">
        <v>8.9164673999999999E-2</v>
      </c>
      <c r="DL104">
        <v>-6.8881385000000003E-2</v>
      </c>
      <c r="DM104">
        <v>0.18278764</v>
      </c>
      <c r="DN104">
        <v>1.1944784E-2</v>
      </c>
      <c r="DO104">
        <v>5.8908988000000002E-2</v>
      </c>
      <c r="DP104">
        <v>0.20571795000000001</v>
      </c>
      <c r="DQ104">
        <v>-6.2156285999999998E-2</v>
      </c>
      <c r="DR104">
        <v>0.18042886</v>
      </c>
      <c r="DS104">
        <v>-2.2868294000000001E-2</v>
      </c>
      <c r="DT104">
        <v>9.6638370000000001E-2</v>
      </c>
      <c r="DU104">
        <v>2.506792E-2</v>
      </c>
      <c r="DV104">
        <v>-2.5647047999999999E-2</v>
      </c>
      <c r="DW104">
        <v>-0.21159053</v>
      </c>
      <c r="DX104">
        <v>3.8941882999999997E-2</v>
      </c>
      <c r="DY104">
        <v>6.4683050000000006E-2</v>
      </c>
      <c r="DZ104">
        <v>5.7928267999999998E-2</v>
      </c>
    </row>
    <row r="105" spans="1:130" x14ac:dyDescent="0.3">
      <c r="A105">
        <f>Board!$G$10</f>
        <v>0</v>
      </c>
      <c r="C105">
        <v>-6.3041650000000005E-2</v>
      </c>
      <c r="D105">
        <v>7.4632980000000002E-2</v>
      </c>
      <c r="E105">
        <v>-0.18860434000000001</v>
      </c>
      <c r="F105">
        <v>0.39240193000000001</v>
      </c>
      <c r="G105">
        <v>-5.2262016000000001E-2</v>
      </c>
      <c r="H105">
        <v>4.7574569999999997E-2</v>
      </c>
      <c r="I105">
        <v>4.8342376999999999E-2</v>
      </c>
      <c r="J105">
        <v>-0.10313636</v>
      </c>
      <c r="K105">
        <v>9.5163256000000002E-2</v>
      </c>
      <c r="L105">
        <v>-0.17084100999999999</v>
      </c>
      <c r="M105">
        <v>-0.34178004000000001</v>
      </c>
      <c r="N105">
        <v>-6.1406611999999999E-2</v>
      </c>
      <c r="O105">
        <v>-0.29676032000000002</v>
      </c>
      <c r="P105">
        <v>-0.39885226000000001</v>
      </c>
      <c r="Q105">
        <v>2.1098087000000001E-2</v>
      </c>
      <c r="R105">
        <v>-0.12860373999999999</v>
      </c>
      <c r="S105">
        <v>-0.105955355</v>
      </c>
      <c r="T105">
        <v>-0.28776136000000002</v>
      </c>
      <c r="U105">
        <v>-1.8263148E-2</v>
      </c>
      <c r="V105">
        <v>7.3770515999999994E-2</v>
      </c>
      <c r="W105">
        <v>-0.12985975</v>
      </c>
      <c r="X105">
        <v>-0.12423494</v>
      </c>
      <c r="Y105">
        <v>0.23951322</v>
      </c>
      <c r="Z105">
        <v>-8.8915060000000004E-2</v>
      </c>
      <c r="AA105">
        <v>6.7744814E-2</v>
      </c>
      <c r="AB105">
        <v>-6.9282429999999997E-3</v>
      </c>
      <c r="AC105">
        <v>0.22925498</v>
      </c>
      <c r="AD105">
        <v>0.28646110000000002</v>
      </c>
      <c r="AE105">
        <v>-1.4855123E-2</v>
      </c>
      <c r="AF105">
        <v>9.267539E-3</v>
      </c>
      <c r="AG105">
        <v>-0.17500393</v>
      </c>
      <c r="AH105">
        <v>0.21052565000000001</v>
      </c>
      <c r="AI105">
        <v>-0.19159722000000001</v>
      </c>
      <c r="AJ105">
        <v>-0.64604497000000005</v>
      </c>
      <c r="AK105">
        <v>0.32469133</v>
      </c>
      <c r="AL105">
        <v>0.34721848</v>
      </c>
      <c r="AM105">
        <v>0.27508754000000002</v>
      </c>
      <c r="AN105">
        <v>-8.898267E-2</v>
      </c>
      <c r="AO105">
        <v>-0.41198291999999997</v>
      </c>
      <c r="AP105">
        <v>0.14970359</v>
      </c>
      <c r="AQ105">
        <v>-0.26101518000000001</v>
      </c>
      <c r="AR105">
        <v>-0.28393668</v>
      </c>
      <c r="AS105">
        <v>6.2438372999999998E-2</v>
      </c>
      <c r="AT105">
        <v>0.1923231</v>
      </c>
      <c r="AU105">
        <v>-2.2358203E-2</v>
      </c>
      <c r="AV105">
        <v>0.46137266999999998</v>
      </c>
      <c r="AW105">
        <v>-0.30200070000000001</v>
      </c>
      <c r="AX105">
        <v>0.15398112999999999</v>
      </c>
      <c r="AY105">
        <v>-5.671143E-2</v>
      </c>
      <c r="AZ105">
        <v>9.5574679999999995E-2</v>
      </c>
      <c r="BA105">
        <v>0.18641083999999999</v>
      </c>
      <c r="BB105">
        <v>-4.3538764000000001E-2</v>
      </c>
      <c r="BC105">
        <v>0.13781257999999999</v>
      </c>
      <c r="BD105">
        <v>-0.14151955999999999</v>
      </c>
      <c r="BE105">
        <v>-7.5253955999999997E-2</v>
      </c>
      <c r="BF105">
        <v>-0.38795224</v>
      </c>
      <c r="BG105">
        <v>-0.2242401</v>
      </c>
      <c r="BH105">
        <v>-7.9094200000000003E-2</v>
      </c>
      <c r="BI105">
        <v>-9.4154430000000008E-3</v>
      </c>
      <c r="BJ105">
        <v>-2.4778653000000001E-2</v>
      </c>
      <c r="BK105">
        <v>-0.11723298</v>
      </c>
      <c r="BL105">
        <v>4.6948589999999998E-2</v>
      </c>
      <c r="BM105">
        <v>-9.9239659999999993E-2</v>
      </c>
      <c r="BN105">
        <v>-0.48410819999999999</v>
      </c>
      <c r="BO105">
        <v>0.29664728000000001</v>
      </c>
      <c r="BP105">
        <v>2.4351211999999998E-3</v>
      </c>
      <c r="BQ105">
        <v>0.22461586</v>
      </c>
      <c r="BR105">
        <v>-8.6264320000000005E-2</v>
      </c>
      <c r="BS105">
        <v>0.14299123</v>
      </c>
      <c r="BT105">
        <v>-3.9382967999999997E-2</v>
      </c>
      <c r="BU105">
        <v>0.11867446500000001</v>
      </c>
      <c r="BV105">
        <v>-0.40283117000000002</v>
      </c>
      <c r="BW105">
        <v>8.5502060000000005E-2</v>
      </c>
      <c r="BX105">
        <v>-0.17922742999999999</v>
      </c>
      <c r="BY105">
        <v>-0.14070521</v>
      </c>
      <c r="BZ105">
        <v>8.8627529999999996E-2</v>
      </c>
      <c r="CA105">
        <v>-0.13083094000000001</v>
      </c>
      <c r="CB105">
        <v>0.20158717000000001</v>
      </c>
      <c r="CC105">
        <v>2.1499574E-2</v>
      </c>
      <c r="CD105">
        <v>6.4617270000000004E-2</v>
      </c>
      <c r="CE105">
        <v>4.9250404999999997E-2</v>
      </c>
      <c r="CF105">
        <v>-6.0369973000000002E-3</v>
      </c>
      <c r="CG105">
        <v>4.4390499999999999E-2</v>
      </c>
      <c r="CH105">
        <v>0.24918915</v>
      </c>
      <c r="CI105">
        <v>7.3658089999999996E-2</v>
      </c>
      <c r="CJ105">
        <v>4.6896911999999999E-2</v>
      </c>
      <c r="CK105">
        <v>-0.16477907</v>
      </c>
      <c r="CL105">
        <v>-0.2409007</v>
      </c>
      <c r="CM105">
        <v>0.115696095</v>
      </c>
      <c r="CN105">
        <v>-8.2463540000000002E-2</v>
      </c>
      <c r="CO105">
        <v>-0.13120883999999999</v>
      </c>
      <c r="CP105">
        <v>-0.18829823000000001</v>
      </c>
      <c r="CQ105">
        <v>3.0688683000000001E-2</v>
      </c>
      <c r="CR105">
        <v>6.1585408000000001E-2</v>
      </c>
      <c r="CS105">
        <v>-0.117043175</v>
      </c>
      <c r="CT105">
        <v>-0.32606370000000001</v>
      </c>
      <c r="CU105">
        <v>-0.19653392</v>
      </c>
      <c r="CV105">
        <v>-2.1507582000000001E-2</v>
      </c>
      <c r="CW105">
        <v>-4.0229059999999997E-2</v>
      </c>
      <c r="CX105">
        <v>-0.16317435999999999</v>
      </c>
      <c r="CY105">
        <v>-0.23187888000000001</v>
      </c>
      <c r="CZ105">
        <v>0.19704166000000001</v>
      </c>
      <c r="DA105">
        <v>3.878659E-3</v>
      </c>
      <c r="DB105">
        <v>-9.3787140000000005E-2</v>
      </c>
      <c r="DC105">
        <v>0.3126775</v>
      </c>
      <c r="DD105">
        <v>-6.0530911999999999E-2</v>
      </c>
      <c r="DE105">
        <v>3.7012339999999998E-2</v>
      </c>
      <c r="DF105">
        <v>-0.18108077</v>
      </c>
      <c r="DG105">
        <v>7.3768970000000003E-2</v>
      </c>
      <c r="DH105">
        <v>2.7090880000000001E-2</v>
      </c>
      <c r="DI105">
        <v>0.14720433999999999</v>
      </c>
      <c r="DJ105">
        <v>-0.17003551</v>
      </c>
      <c r="DK105">
        <v>-0.15546662</v>
      </c>
      <c r="DL105">
        <v>-2.1569060000000001E-2</v>
      </c>
      <c r="DM105">
        <v>-2.4725633E-2</v>
      </c>
      <c r="DN105">
        <v>-0.15278704000000001</v>
      </c>
      <c r="DO105">
        <v>0.13407098000000001</v>
      </c>
      <c r="DP105">
        <v>2.3341016999999999E-2</v>
      </c>
      <c r="DQ105">
        <v>-2.8570102999999999E-2</v>
      </c>
      <c r="DR105">
        <v>-1.4575360000000001E-2</v>
      </c>
      <c r="DS105">
        <v>1.8121977E-3</v>
      </c>
      <c r="DT105">
        <v>5.3344062999999997E-2</v>
      </c>
      <c r="DU105">
        <v>-0.13334177</v>
      </c>
      <c r="DV105">
        <v>0.16451429000000001</v>
      </c>
      <c r="DW105">
        <v>-5.9545910000000001E-2</v>
      </c>
      <c r="DX105">
        <v>0.15889485</v>
      </c>
      <c r="DY105">
        <v>2.5552861E-2</v>
      </c>
      <c r="DZ105">
        <v>6.1340652000000002E-2</v>
      </c>
    </row>
    <row r="106" spans="1:130" x14ac:dyDescent="0.3">
      <c r="A106">
        <f>Board!$H$10</f>
        <v>1</v>
      </c>
      <c r="C106">
        <v>7.8978560000000003E-2</v>
      </c>
      <c r="D106">
        <v>7.0487060000000004E-2</v>
      </c>
      <c r="E106">
        <v>0.17026304</v>
      </c>
      <c r="F106">
        <v>0.10423186</v>
      </c>
      <c r="G106">
        <v>0.19927037</v>
      </c>
      <c r="H106">
        <v>3.5556126E-2</v>
      </c>
      <c r="I106">
        <v>-0.13555253</v>
      </c>
      <c r="J106">
        <v>8.0196939999999994E-2</v>
      </c>
      <c r="K106">
        <v>-4.7410846E-2</v>
      </c>
      <c r="L106">
        <v>-2.1070394999999999E-2</v>
      </c>
      <c r="M106">
        <v>-0.13916200000000001</v>
      </c>
      <c r="N106">
        <v>4.0867656000000002E-2</v>
      </c>
      <c r="O106">
        <v>-3.7869479999999997E-2</v>
      </c>
      <c r="P106">
        <v>-6.6378980000000004E-2</v>
      </c>
      <c r="Q106">
        <v>6.6982760000000002E-2</v>
      </c>
      <c r="R106">
        <v>-3.6632395999999998E-2</v>
      </c>
      <c r="S106">
        <v>3.6736554999999997E-2</v>
      </c>
      <c r="T106">
        <v>-0.34566831999999997</v>
      </c>
      <c r="U106">
        <v>3.0152301999999999E-2</v>
      </c>
      <c r="V106">
        <v>-0.41853234</v>
      </c>
      <c r="W106">
        <v>0.15258891999999999</v>
      </c>
      <c r="X106">
        <v>-7.9457180000000002E-2</v>
      </c>
      <c r="Y106">
        <v>-0.48605843999999998</v>
      </c>
      <c r="Z106">
        <v>0.10502295</v>
      </c>
      <c r="AA106">
        <v>0.18156718999999999</v>
      </c>
      <c r="AB106">
        <v>3.847623E-2</v>
      </c>
      <c r="AC106">
        <v>0.26867930000000001</v>
      </c>
      <c r="AD106">
        <v>0.1960635</v>
      </c>
      <c r="AE106">
        <v>-2.593283E-2</v>
      </c>
      <c r="AF106">
        <v>8.0589469999999996E-2</v>
      </c>
      <c r="AG106">
        <v>0.14382424999999999</v>
      </c>
      <c r="AH106">
        <v>0.13981329000000001</v>
      </c>
      <c r="AI106">
        <v>3.19406E-2</v>
      </c>
      <c r="AJ106">
        <v>-9.3326019999999996E-2</v>
      </c>
      <c r="AK106">
        <v>0.2820724</v>
      </c>
      <c r="AL106">
        <v>2.1455176000000002E-3</v>
      </c>
      <c r="AM106">
        <v>-0.30382025000000001</v>
      </c>
      <c r="AN106">
        <v>-0.12488636</v>
      </c>
      <c r="AO106">
        <v>-0.20186725</v>
      </c>
      <c r="AP106">
        <v>-2.2677923999999999E-2</v>
      </c>
      <c r="AQ106">
        <v>-0.17415987999999999</v>
      </c>
      <c r="AR106">
        <v>2.5250522000000001E-2</v>
      </c>
      <c r="AS106">
        <v>0.1283552</v>
      </c>
      <c r="AT106">
        <v>-9.6926540000000005E-2</v>
      </c>
      <c r="AU106">
        <v>-0.4450769</v>
      </c>
      <c r="AV106">
        <v>-0.53182549999999995</v>
      </c>
      <c r="AW106">
        <v>0.16238931000000001</v>
      </c>
      <c r="AX106">
        <v>-4.9104870000000002E-2</v>
      </c>
      <c r="AY106">
        <v>-7.3710280000000003E-2</v>
      </c>
      <c r="AZ106">
        <v>4.9571869999999997E-2</v>
      </c>
      <c r="BA106">
        <v>5.4347300000000001E-2</v>
      </c>
      <c r="BB106">
        <v>9.4059064999999997E-2</v>
      </c>
      <c r="BC106">
        <v>0.15948898</v>
      </c>
      <c r="BD106">
        <v>-9.2858486000000004E-2</v>
      </c>
      <c r="BE106">
        <v>4.2246569999999997E-2</v>
      </c>
      <c r="BF106">
        <v>0.15156620000000001</v>
      </c>
      <c r="BG106">
        <v>-2.8081404000000001E-2</v>
      </c>
      <c r="BH106">
        <v>0.15056770999999999</v>
      </c>
      <c r="BI106">
        <v>-6.9017276000000002E-2</v>
      </c>
      <c r="BJ106">
        <v>9.3207100000000001E-2</v>
      </c>
      <c r="BK106">
        <v>-4.8819979999999999E-2</v>
      </c>
      <c r="BL106">
        <v>-3.4736738000000003E-2</v>
      </c>
      <c r="BM106">
        <v>-0.15594011999999999</v>
      </c>
      <c r="BN106">
        <v>-3.0719334000000001E-2</v>
      </c>
      <c r="BO106">
        <v>0.25252851999999998</v>
      </c>
      <c r="BP106">
        <v>9.6374700000000004E-3</v>
      </c>
      <c r="BQ106">
        <v>8.7865159999999998E-2</v>
      </c>
      <c r="BR106">
        <v>-6.9130043999999996E-3</v>
      </c>
      <c r="BS106">
        <v>8.3621589999999996E-2</v>
      </c>
      <c r="BT106">
        <v>0.21344674</v>
      </c>
      <c r="BU106">
        <v>3.7075496999999999E-2</v>
      </c>
      <c r="BV106">
        <v>0.33110869999999998</v>
      </c>
      <c r="BW106">
        <v>8.2533620000000002E-2</v>
      </c>
      <c r="BX106">
        <v>7.4407786000000004E-2</v>
      </c>
      <c r="BY106">
        <v>-0.16512586000000001</v>
      </c>
      <c r="BZ106">
        <v>8.3658460000000004E-2</v>
      </c>
      <c r="CA106">
        <v>1.6976080000000001E-2</v>
      </c>
      <c r="CB106">
        <v>-0.12455301000000001</v>
      </c>
      <c r="CC106">
        <v>0.12693304</v>
      </c>
      <c r="CD106">
        <v>-0.10943477</v>
      </c>
      <c r="CE106">
        <v>8.2753590000000002E-2</v>
      </c>
      <c r="CF106">
        <v>0.26505630000000002</v>
      </c>
      <c r="CG106">
        <v>0.16843878000000001</v>
      </c>
      <c r="CH106">
        <v>-8.3294116000000001E-2</v>
      </c>
      <c r="CI106">
        <v>6.7392476000000007E-2</v>
      </c>
      <c r="CJ106">
        <v>-0.2088865</v>
      </c>
      <c r="CK106">
        <v>1.8671770000000001E-2</v>
      </c>
      <c r="CL106">
        <v>0.31855213999999998</v>
      </c>
      <c r="CM106">
        <v>0.12419740999999999</v>
      </c>
      <c r="CN106">
        <v>0.17323695</v>
      </c>
      <c r="CO106">
        <v>5.0284106000000002E-2</v>
      </c>
      <c r="CP106">
        <v>0.44762730000000001</v>
      </c>
      <c r="CQ106">
        <v>0.111805215</v>
      </c>
      <c r="CR106">
        <v>-0.11826173</v>
      </c>
      <c r="CS106">
        <v>2.9879592E-2</v>
      </c>
      <c r="CT106">
        <v>-0.1633095</v>
      </c>
      <c r="CU106">
        <v>0.13292772999999999</v>
      </c>
      <c r="CV106">
        <v>2.1362498000000001E-2</v>
      </c>
      <c r="CW106">
        <v>-7.9063469999999997E-2</v>
      </c>
      <c r="CX106">
        <v>-7.6471929999999994E-2</v>
      </c>
      <c r="CY106">
        <v>0.12468498</v>
      </c>
      <c r="CZ106">
        <v>-0.32354327999999999</v>
      </c>
      <c r="DA106">
        <v>-0.11001179</v>
      </c>
      <c r="DB106">
        <v>-4.1355445999999997E-2</v>
      </c>
      <c r="DC106">
        <v>0.33075124</v>
      </c>
      <c r="DD106">
        <v>-7.8651554999999998E-2</v>
      </c>
      <c r="DE106">
        <v>0.18555849999999999</v>
      </c>
      <c r="DF106">
        <v>-9.1466759999999994E-2</v>
      </c>
      <c r="DG106">
        <v>-0.21990123</v>
      </c>
      <c r="DH106">
        <v>3.9794824999999999E-2</v>
      </c>
      <c r="DI106">
        <v>-1.1425932999999999E-2</v>
      </c>
      <c r="DJ106">
        <v>0.1534527</v>
      </c>
      <c r="DK106">
        <v>2.8238124999999999E-2</v>
      </c>
      <c r="DL106">
        <v>0.18422121</v>
      </c>
      <c r="DM106">
        <v>0.10396593</v>
      </c>
      <c r="DN106">
        <v>-3.4514139999999999E-2</v>
      </c>
      <c r="DO106">
        <v>-2.1147800000000001E-2</v>
      </c>
      <c r="DP106">
        <v>3.8189859999999999E-2</v>
      </c>
      <c r="DQ106">
        <v>0.12482345</v>
      </c>
      <c r="DR106">
        <v>-0.15687042000000001</v>
      </c>
      <c r="DS106">
        <v>-1.2907226000000001E-2</v>
      </c>
      <c r="DT106">
        <v>0.11797645</v>
      </c>
      <c r="DU106">
        <v>6.10594E-2</v>
      </c>
      <c r="DV106">
        <v>0.3133051</v>
      </c>
      <c r="DW106">
        <v>2.4702992E-2</v>
      </c>
      <c r="DX106">
        <v>-0.119017385</v>
      </c>
      <c r="DY106">
        <v>-0.14055216000000001</v>
      </c>
      <c r="DZ106">
        <v>3.1977784000000002E-2</v>
      </c>
    </row>
    <row r="107" spans="1:130" x14ac:dyDescent="0.3">
      <c r="A107">
        <f>Board!$I$10</f>
        <v>0</v>
      </c>
      <c r="C107">
        <v>0.14210434</v>
      </c>
      <c r="D107">
        <v>5.6637550000000002E-2</v>
      </c>
      <c r="E107">
        <v>8.2426749999999993E-2</v>
      </c>
      <c r="F107">
        <v>0.28111841999999998</v>
      </c>
      <c r="G107">
        <v>0.14991018</v>
      </c>
      <c r="H107">
        <v>0.10722623000000001</v>
      </c>
      <c r="I107">
        <v>-0.15340866</v>
      </c>
      <c r="J107">
        <v>0.103713006</v>
      </c>
      <c r="K107">
        <v>-6.6995196000000007E-2</v>
      </c>
      <c r="L107">
        <v>0.13682659999999999</v>
      </c>
      <c r="M107">
        <v>-1.9444881000000001E-2</v>
      </c>
      <c r="N107">
        <v>0.22365208</v>
      </c>
      <c r="O107">
        <v>-6.7490906000000003E-2</v>
      </c>
      <c r="P107">
        <v>0.10816742999999999</v>
      </c>
      <c r="Q107">
        <v>-6.5433769999999997E-4</v>
      </c>
      <c r="R107">
        <v>0.11612728999999999</v>
      </c>
      <c r="S107">
        <v>6.9755766999999996E-3</v>
      </c>
      <c r="T107">
        <v>3.5223867999999998E-2</v>
      </c>
      <c r="U107">
        <v>2.0815982E-2</v>
      </c>
      <c r="V107">
        <v>-0.12922153</v>
      </c>
      <c r="W107">
        <v>8.1354750000000003E-2</v>
      </c>
      <c r="X107">
        <v>0.14965518</v>
      </c>
      <c r="Y107">
        <v>-0.15664141000000001</v>
      </c>
      <c r="Z107">
        <v>7.9875080000000001E-2</v>
      </c>
      <c r="AA107">
        <v>1.8944277999999998E-2</v>
      </c>
      <c r="AB107">
        <v>-5.5636533000000002E-2</v>
      </c>
      <c r="AC107">
        <v>0.11340469</v>
      </c>
      <c r="AD107">
        <v>0.16813631000000001</v>
      </c>
      <c r="AE107">
        <v>4.7641099999999999E-2</v>
      </c>
      <c r="AF107">
        <v>-3.0974471999999999E-2</v>
      </c>
      <c r="AG107">
        <v>-4.8742956E-3</v>
      </c>
      <c r="AH107">
        <v>0.10975791999999999</v>
      </c>
      <c r="AI107">
        <v>-5.4287830000000002E-2</v>
      </c>
      <c r="AJ107">
        <v>0.18054619999999999</v>
      </c>
      <c r="AK107">
        <v>0.26104727</v>
      </c>
      <c r="AL107">
        <v>-9.7869486000000006E-2</v>
      </c>
      <c r="AM107">
        <v>9.5866750000000001E-2</v>
      </c>
      <c r="AN107">
        <v>4.7946493999999999E-2</v>
      </c>
      <c r="AO107">
        <v>-0.12653465999999999</v>
      </c>
      <c r="AP107">
        <v>0.13581893</v>
      </c>
      <c r="AQ107">
        <v>-0.16700171999999999</v>
      </c>
      <c r="AR107">
        <v>8.2811880000000004E-2</v>
      </c>
      <c r="AS107">
        <v>0.18608832</v>
      </c>
      <c r="AT107">
        <v>-1.3161706E-2</v>
      </c>
      <c r="AU107">
        <v>4.9831048000000003E-2</v>
      </c>
      <c r="AV107">
        <v>-0.52779960000000004</v>
      </c>
      <c r="AW107">
        <v>-0.22882162</v>
      </c>
      <c r="AX107">
        <v>6.2389236000000001E-2</v>
      </c>
      <c r="AY107">
        <v>-8.7017099999999997E-3</v>
      </c>
      <c r="AZ107">
        <v>0.15378723</v>
      </c>
      <c r="BA107">
        <v>0.18096809999999999</v>
      </c>
      <c r="BB107">
        <v>0.23005682</v>
      </c>
      <c r="BC107">
        <v>0.19296986999999999</v>
      </c>
      <c r="BD107">
        <v>-3.9926006999999999E-2</v>
      </c>
      <c r="BE107">
        <v>0.105195925</v>
      </c>
      <c r="BF107">
        <v>0.21116214999999999</v>
      </c>
      <c r="BG107">
        <v>-0.13828364000000001</v>
      </c>
      <c r="BH107">
        <v>0.2494661</v>
      </c>
      <c r="BI107">
        <v>0.13451848999999999</v>
      </c>
      <c r="BJ107">
        <v>-0.28210731999999999</v>
      </c>
      <c r="BK107">
        <v>-7.6659560000000002E-2</v>
      </c>
      <c r="BL107">
        <v>0.21485698</v>
      </c>
      <c r="BM107">
        <v>0.10602232</v>
      </c>
      <c r="BN107">
        <v>-0.16451836</v>
      </c>
      <c r="BO107">
        <v>0.23700415</v>
      </c>
      <c r="BP107">
        <v>3.3413357999999997E-2</v>
      </c>
      <c r="BQ107">
        <v>0.20609805</v>
      </c>
      <c r="BR107">
        <v>5.0034855000000003E-2</v>
      </c>
      <c r="BS107">
        <v>-8.8254966000000004E-2</v>
      </c>
      <c r="BT107">
        <v>0.12270016</v>
      </c>
      <c r="BU107">
        <v>-3.7935549999999998E-2</v>
      </c>
      <c r="BV107">
        <v>0.14864332999999999</v>
      </c>
      <c r="BW107">
        <v>0.12843634000000001</v>
      </c>
      <c r="BX107">
        <v>0.11068565</v>
      </c>
      <c r="BY107">
        <v>-0.11529178</v>
      </c>
      <c r="BZ107">
        <v>8.2623210000000002E-2</v>
      </c>
      <c r="CA107">
        <v>-2.6736813000000002E-2</v>
      </c>
      <c r="CB107">
        <v>-6.7432900000000004E-2</v>
      </c>
      <c r="CC107">
        <v>3.9465963999999999E-2</v>
      </c>
      <c r="CD107">
        <v>2.4971877999999999E-2</v>
      </c>
      <c r="CE107">
        <v>3.3499750000000002E-2</v>
      </c>
      <c r="CF107">
        <v>9.4535550000000006E-3</v>
      </c>
      <c r="CG107">
        <v>9.247669E-2</v>
      </c>
      <c r="CH107">
        <v>-2.0737869999999999E-2</v>
      </c>
      <c r="CI107">
        <v>-3.3005896999999999E-2</v>
      </c>
      <c r="CJ107">
        <v>-2.9144554999999999E-2</v>
      </c>
      <c r="CK107">
        <v>-2.3067119000000001E-2</v>
      </c>
      <c r="CL107">
        <v>0.29567048000000001</v>
      </c>
      <c r="CM107">
        <v>3.3921189999999997E-2</v>
      </c>
      <c r="CN107">
        <v>6.8160319999999996E-2</v>
      </c>
      <c r="CO107">
        <v>7.8863429999999998E-2</v>
      </c>
      <c r="CP107">
        <v>0.22881196000000001</v>
      </c>
      <c r="CQ107">
        <v>0.23261831999999999</v>
      </c>
      <c r="CR107">
        <v>-9.3155353999999996E-2</v>
      </c>
      <c r="CS107">
        <v>-2.4000549999999999E-3</v>
      </c>
      <c r="CT107">
        <v>-8.1679784000000005E-2</v>
      </c>
      <c r="CU107">
        <v>0.12855037999999999</v>
      </c>
      <c r="CV107">
        <v>-6.815156E-2</v>
      </c>
      <c r="CW107">
        <v>-0.20422098</v>
      </c>
      <c r="CX107">
        <v>-7.7632114000000002E-2</v>
      </c>
      <c r="CY107">
        <v>8.7625495999999997E-2</v>
      </c>
      <c r="CZ107">
        <v>-0.6730119</v>
      </c>
      <c r="DA107">
        <v>0.11998256</v>
      </c>
      <c r="DB107">
        <v>7.9742289999999993E-2</v>
      </c>
      <c r="DC107">
        <v>-6.5061359999999999E-2</v>
      </c>
      <c r="DD107">
        <v>-2.1412896000000001E-2</v>
      </c>
      <c r="DE107">
        <v>5.0634536999999997E-3</v>
      </c>
      <c r="DF107">
        <v>1.1324699000000001E-2</v>
      </c>
      <c r="DG107">
        <v>-0.1385334</v>
      </c>
      <c r="DH107">
        <v>-0.14227619999999999</v>
      </c>
      <c r="DI107">
        <v>6.5666445000000004E-2</v>
      </c>
      <c r="DJ107">
        <v>9.6310939999999998E-2</v>
      </c>
      <c r="DK107">
        <v>-1.9488884000000001E-2</v>
      </c>
      <c r="DL107">
        <v>3.2442185999999998E-2</v>
      </c>
      <c r="DM107">
        <v>-5.1553189999999999E-2</v>
      </c>
      <c r="DN107">
        <v>0.24970022</v>
      </c>
      <c r="DO107">
        <v>-7.929311E-2</v>
      </c>
      <c r="DP107">
        <v>3.1686313000000001E-2</v>
      </c>
      <c r="DQ107">
        <v>-7.2328076000000005E-2</v>
      </c>
      <c r="DR107">
        <v>-5.0978832999999998E-3</v>
      </c>
      <c r="DS107">
        <v>6.7661479999999996E-2</v>
      </c>
      <c r="DT107">
        <v>-3.1575131999999999E-2</v>
      </c>
      <c r="DU107">
        <v>4.6197112999999998E-2</v>
      </c>
      <c r="DV107">
        <v>0.14381774</v>
      </c>
      <c r="DW107">
        <v>6.4817970000000003E-2</v>
      </c>
      <c r="DX107">
        <v>-7.0180796000000004E-2</v>
      </c>
      <c r="DY107">
        <v>-0.10710719</v>
      </c>
      <c r="DZ107">
        <v>4.8275172999999998E-2</v>
      </c>
    </row>
    <row r="108" spans="1:130" x14ac:dyDescent="0.3">
      <c r="A108">
        <f>Board!$J$10</f>
        <v>0</v>
      </c>
      <c r="C108">
        <v>0.12363631</v>
      </c>
      <c r="D108">
        <v>-9.6795000000000006E-2</v>
      </c>
      <c r="E108">
        <v>9.662859E-2</v>
      </c>
      <c r="F108">
        <v>2.3468553999999999E-2</v>
      </c>
      <c r="G108">
        <v>8.1479274000000004E-2</v>
      </c>
      <c r="H108">
        <v>0.28310679999999999</v>
      </c>
      <c r="I108">
        <v>7.8803419999999999E-2</v>
      </c>
      <c r="J108">
        <v>0.23211318</v>
      </c>
      <c r="K108">
        <v>-0.20241621000000001</v>
      </c>
      <c r="L108">
        <v>-2.2595420000000001E-2</v>
      </c>
      <c r="M108">
        <v>9.7216844999999996E-2</v>
      </c>
      <c r="N108">
        <v>0.12706545</v>
      </c>
      <c r="O108">
        <v>-5.1645674000000003E-2</v>
      </c>
      <c r="P108">
        <v>-0.23710941999999999</v>
      </c>
      <c r="Q108">
        <v>-9.7592874999999996E-2</v>
      </c>
      <c r="R108">
        <v>-4.8940003000000003E-2</v>
      </c>
      <c r="S108">
        <v>0.17508438000000001</v>
      </c>
      <c r="T108">
        <v>0.17271230000000001</v>
      </c>
      <c r="U108">
        <v>5.4689641999999997E-2</v>
      </c>
      <c r="V108">
        <v>0.27336811999999999</v>
      </c>
      <c r="W108">
        <v>4.0818664999999997E-2</v>
      </c>
      <c r="X108">
        <v>1.0380143E-2</v>
      </c>
      <c r="Y108">
        <v>-0.24149497</v>
      </c>
      <c r="Z108">
        <v>9.7559530000000005E-2</v>
      </c>
      <c r="AA108">
        <v>9.040745E-2</v>
      </c>
      <c r="AB108">
        <v>-8.8093340000000006E-2</v>
      </c>
      <c r="AC108">
        <v>4.8856054000000003E-2</v>
      </c>
      <c r="AD108">
        <v>0.14788179000000001</v>
      </c>
      <c r="AE108">
        <v>-4.0910423000000001E-2</v>
      </c>
      <c r="AF108">
        <v>-2.4209257000000001E-2</v>
      </c>
      <c r="AG108">
        <v>-0.13322951999999999</v>
      </c>
      <c r="AH108">
        <v>0.19178000000000001</v>
      </c>
      <c r="AI108">
        <v>-4.3743814999999998E-2</v>
      </c>
      <c r="AJ108">
        <v>1.8569187E-3</v>
      </c>
      <c r="AK108">
        <v>0.10882068</v>
      </c>
      <c r="AL108">
        <v>-0.20608642999999999</v>
      </c>
      <c r="AM108">
        <v>1.5466317E-2</v>
      </c>
      <c r="AN108">
        <v>3.7039733999999998E-2</v>
      </c>
      <c r="AO108">
        <v>-3.944044E-2</v>
      </c>
      <c r="AP108">
        <v>-1.16547E-2</v>
      </c>
      <c r="AQ108">
        <v>-5.7561155000000003E-2</v>
      </c>
      <c r="AR108">
        <v>-0.21011257</v>
      </c>
      <c r="AS108">
        <v>0.13172780000000001</v>
      </c>
      <c r="AT108">
        <v>-0.32834200000000002</v>
      </c>
      <c r="AU108">
        <v>0.24379997</v>
      </c>
      <c r="AV108">
        <v>-0.41890356000000001</v>
      </c>
      <c r="AW108">
        <v>-0.14863345</v>
      </c>
      <c r="AX108">
        <v>1.9236079999999999E-2</v>
      </c>
      <c r="AY108">
        <v>2.3034341999999999E-2</v>
      </c>
      <c r="AZ108">
        <v>-0.11395949</v>
      </c>
      <c r="BA108">
        <v>4.6138077999999999E-2</v>
      </c>
      <c r="BB108">
        <v>7.9467019999999999E-3</v>
      </c>
      <c r="BC108">
        <v>-6.0079265E-2</v>
      </c>
      <c r="BD108">
        <v>2.6616801999999998E-2</v>
      </c>
      <c r="BE108">
        <v>0.18338773</v>
      </c>
      <c r="BF108">
        <v>7.5996229999999998E-2</v>
      </c>
      <c r="BG108">
        <v>-0.24238994999999999</v>
      </c>
      <c r="BH108">
        <v>0.20850134000000001</v>
      </c>
      <c r="BI108">
        <v>-6.0341183E-2</v>
      </c>
      <c r="BJ108">
        <v>-0.14018644</v>
      </c>
      <c r="BK108">
        <v>0.16946601999999999</v>
      </c>
      <c r="BL108">
        <v>-8.5102789999999998E-2</v>
      </c>
      <c r="BM108">
        <v>-8.6482660000000003E-2</v>
      </c>
      <c r="BN108">
        <v>-0.14490964000000001</v>
      </c>
      <c r="BO108">
        <v>-9.7236149999999993E-2</v>
      </c>
      <c r="BP108">
        <v>1.5915273000000001E-2</v>
      </c>
      <c r="BQ108">
        <v>-9.4439750000000003E-2</v>
      </c>
      <c r="BR108">
        <v>-6.8639829999999999E-2</v>
      </c>
      <c r="BS108">
        <v>-6.5813800000000006E-2</v>
      </c>
      <c r="BT108">
        <v>-0.17202236000000001</v>
      </c>
      <c r="BU108">
        <v>9.4040100000000008E-3</v>
      </c>
      <c r="BV108">
        <v>1.5785036999999998E-2</v>
      </c>
      <c r="BW108">
        <v>-9.7124815000000003E-2</v>
      </c>
      <c r="BX108">
        <v>-0.39517245000000001</v>
      </c>
      <c r="BY108">
        <v>-9.5749570000000006E-2</v>
      </c>
      <c r="BZ108">
        <v>0.12167467999999999</v>
      </c>
      <c r="CA108">
        <v>-0.45956059999999999</v>
      </c>
      <c r="CB108">
        <v>-1.825976E-2</v>
      </c>
      <c r="CC108">
        <v>3.1068762999999999E-2</v>
      </c>
      <c r="CD108">
        <v>5.6719265999999997E-2</v>
      </c>
      <c r="CE108">
        <v>0.11969107</v>
      </c>
      <c r="CF108">
        <v>2.1286683000000001E-2</v>
      </c>
      <c r="CG108">
        <v>6.5112950000000003E-2</v>
      </c>
      <c r="CH108">
        <v>3.1548199999999998E-2</v>
      </c>
      <c r="CI108">
        <v>9.100888E-2</v>
      </c>
      <c r="CJ108">
        <v>0.1248295</v>
      </c>
      <c r="CK108">
        <v>-2.006602E-2</v>
      </c>
      <c r="CL108">
        <v>0.22593488</v>
      </c>
      <c r="CM108">
        <v>-3.2852861999999997E-2</v>
      </c>
      <c r="CN108">
        <v>6.5146930000000006E-2</v>
      </c>
      <c r="CO108">
        <v>0.22475722000000001</v>
      </c>
      <c r="CP108">
        <v>0.19032128000000001</v>
      </c>
      <c r="CQ108">
        <v>0.28967574000000001</v>
      </c>
      <c r="CR108">
        <v>-3.0315854E-2</v>
      </c>
      <c r="CS108">
        <v>7.0577280000000006E-2</v>
      </c>
      <c r="CT108">
        <v>-9.7707939999999993E-3</v>
      </c>
      <c r="CU108">
        <v>0.14200075000000001</v>
      </c>
      <c r="CV108">
        <v>9.1321890000000003E-2</v>
      </c>
      <c r="CW108">
        <v>-0.11489240000000001</v>
      </c>
      <c r="CX108">
        <v>-3.1180028000000002E-3</v>
      </c>
      <c r="CY108">
        <v>-7.5343973999999994E-2</v>
      </c>
      <c r="CZ108">
        <v>-0.24235079000000001</v>
      </c>
      <c r="DA108">
        <v>9.9960629999999995E-2</v>
      </c>
      <c r="DB108">
        <v>-0.1163098</v>
      </c>
      <c r="DC108">
        <v>-5.7954832999999997E-2</v>
      </c>
      <c r="DD108">
        <v>0.13907913999999999</v>
      </c>
      <c r="DE108">
        <v>-5.8291695999999997E-2</v>
      </c>
      <c r="DF108">
        <v>0.17072396000000001</v>
      </c>
      <c r="DG108">
        <v>-1.3557739999999999E-3</v>
      </c>
      <c r="DH108">
        <v>-9.5577806000000001E-2</v>
      </c>
      <c r="DI108">
        <v>2.6432226999999999E-2</v>
      </c>
      <c r="DJ108">
        <v>6.9919099999999996E-3</v>
      </c>
      <c r="DK108">
        <v>0.10427827000000001</v>
      </c>
      <c r="DL108">
        <v>0.13654812</v>
      </c>
      <c r="DM108">
        <v>-0.15187068000000001</v>
      </c>
      <c r="DN108">
        <v>0.30487436000000001</v>
      </c>
      <c r="DO108">
        <v>-0.18329197</v>
      </c>
      <c r="DP108">
        <v>-3.5208732E-2</v>
      </c>
      <c r="DQ108">
        <v>-0.30903164</v>
      </c>
      <c r="DR108">
        <v>6.2433816000000003E-2</v>
      </c>
      <c r="DS108">
        <v>-1.6377165999999999E-2</v>
      </c>
      <c r="DT108">
        <v>-0.12034483999999999</v>
      </c>
      <c r="DU108">
        <v>-8.0404840000000005E-2</v>
      </c>
      <c r="DV108">
        <v>-0.55183119999999997</v>
      </c>
      <c r="DW108">
        <v>-4.1542414999999999E-2</v>
      </c>
      <c r="DX108">
        <v>-0.1329178</v>
      </c>
      <c r="DY108">
        <v>0.14923705000000001</v>
      </c>
      <c r="DZ108">
        <v>0.16945167</v>
      </c>
    </row>
    <row r="109" spans="1:130" x14ac:dyDescent="0.3">
      <c r="A109">
        <f>Board!$K$10</f>
        <v>0</v>
      </c>
      <c r="C109">
        <v>0.10844446000000001</v>
      </c>
      <c r="D109">
        <v>-5.2194585999999999E-3</v>
      </c>
      <c r="E109">
        <v>0.16255742000000001</v>
      </c>
      <c r="F109">
        <v>-0.18555037999999999</v>
      </c>
      <c r="G109">
        <v>7.0209585000000005E-2</v>
      </c>
      <c r="H109">
        <v>-3.4999263000000003E-2</v>
      </c>
      <c r="I109">
        <v>9.4027719999999995E-2</v>
      </c>
      <c r="J109">
        <v>0.29294518000000003</v>
      </c>
      <c r="K109">
        <v>0.1955906</v>
      </c>
      <c r="L109">
        <v>-0.15081686999999999</v>
      </c>
      <c r="M109">
        <v>3.8059317000000002E-2</v>
      </c>
      <c r="N109">
        <v>-0.11196137</v>
      </c>
      <c r="O109">
        <v>-8.5572930000000005E-2</v>
      </c>
      <c r="P109">
        <v>-0.49656376000000002</v>
      </c>
      <c r="Q109">
        <v>-7.0501209999999995E-2</v>
      </c>
      <c r="R109">
        <v>-7.0804339999999993E-2</v>
      </c>
      <c r="S109">
        <v>-9.2282145999999995E-2</v>
      </c>
      <c r="T109">
        <v>0.26326316999999999</v>
      </c>
      <c r="U109">
        <v>1.5112858999999999E-2</v>
      </c>
      <c r="V109">
        <v>0.11461093999999999</v>
      </c>
      <c r="W109">
        <v>-3.7461109999999999E-2</v>
      </c>
      <c r="X109">
        <v>-0.31468096000000001</v>
      </c>
      <c r="Y109">
        <v>-0.28625121999999997</v>
      </c>
      <c r="Z109">
        <v>9.8223699999999997E-2</v>
      </c>
      <c r="AA109">
        <v>6.2484472999999999E-2</v>
      </c>
      <c r="AB109">
        <v>0.10270506</v>
      </c>
      <c r="AC109">
        <v>3.4674940000000001E-2</v>
      </c>
      <c r="AD109">
        <v>-0.15422788000000001</v>
      </c>
      <c r="AE109">
        <v>-1.6248597E-2</v>
      </c>
      <c r="AF109">
        <v>-6.2289909999999997E-2</v>
      </c>
      <c r="AG109">
        <v>-0.25116828000000002</v>
      </c>
      <c r="AH109">
        <v>0.23160375999999999</v>
      </c>
      <c r="AI109">
        <v>0.1183317</v>
      </c>
      <c r="AJ109">
        <v>-2.156141E-2</v>
      </c>
      <c r="AK109">
        <v>0.12395585000000001</v>
      </c>
      <c r="AL109">
        <v>-0.12100392</v>
      </c>
      <c r="AM109">
        <v>-0.13383052000000001</v>
      </c>
      <c r="AN109">
        <v>-3.9299317E-2</v>
      </c>
      <c r="AO109">
        <v>-9.0802140000000003E-2</v>
      </c>
      <c r="AP109">
        <v>-0.13896562000000001</v>
      </c>
      <c r="AQ109">
        <v>0.23826971999999999</v>
      </c>
      <c r="AR109">
        <v>-0.54127179999999997</v>
      </c>
      <c r="AS109">
        <v>0.12720229999999999</v>
      </c>
      <c r="AT109">
        <v>-0.33093752999999998</v>
      </c>
      <c r="AU109">
        <v>0.34725323000000002</v>
      </c>
      <c r="AV109">
        <v>-0.17883383</v>
      </c>
      <c r="AW109">
        <v>-0.20740409000000001</v>
      </c>
      <c r="AX109">
        <v>0.17886468999999999</v>
      </c>
      <c r="AY109">
        <v>0.27064386000000001</v>
      </c>
      <c r="AZ109">
        <v>-0.19405642000000001</v>
      </c>
      <c r="BA109">
        <v>0.16467256999999999</v>
      </c>
      <c r="BB109">
        <v>-0.35683814000000003</v>
      </c>
      <c r="BC109">
        <v>-0.19150917000000001</v>
      </c>
      <c r="BD109">
        <v>0.14045814000000001</v>
      </c>
      <c r="BE109">
        <v>4.4542089999999999E-2</v>
      </c>
      <c r="BF109">
        <v>-0.5564228</v>
      </c>
      <c r="BG109">
        <v>-0.32691923000000001</v>
      </c>
      <c r="BH109">
        <v>0.29958075000000001</v>
      </c>
      <c r="BI109">
        <v>-2.6255265E-2</v>
      </c>
      <c r="BJ109">
        <v>-6.8534739999999997E-2</v>
      </c>
      <c r="BK109">
        <v>-4.7295086E-2</v>
      </c>
      <c r="BL109">
        <v>3.799135E-2</v>
      </c>
      <c r="BM109">
        <v>-1.0246109999999999E-2</v>
      </c>
      <c r="BN109">
        <v>-0.19787969</v>
      </c>
      <c r="BO109">
        <v>4.1272706999999999E-2</v>
      </c>
      <c r="BP109">
        <v>-8.58096E-2</v>
      </c>
      <c r="BQ109">
        <v>0.15953100000000001</v>
      </c>
      <c r="BR109">
        <v>-0.33122163999999998</v>
      </c>
      <c r="BS109">
        <v>0.12336314</v>
      </c>
      <c r="BT109">
        <v>-0.11783021</v>
      </c>
      <c r="BU109">
        <v>-6.1877478E-2</v>
      </c>
      <c r="BV109">
        <v>-8.8468246E-2</v>
      </c>
      <c r="BW109">
        <v>-0.10080705</v>
      </c>
      <c r="BX109">
        <v>-9.0147190000000002E-2</v>
      </c>
      <c r="BY109">
        <v>1.9571801999999999E-2</v>
      </c>
      <c r="BZ109">
        <v>2.4281054999999999E-2</v>
      </c>
      <c r="CA109">
        <v>-0.38399038000000002</v>
      </c>
      <c r="CB109">
        <v>7.0209380000000002E-2</v>
      </c>
      <c r="CC109">
        <v>0.12138412</v>
      </c>
      <c r="CD109">
        <v>2.3372919999999998E-2</v>
      </c>
      <c r="CE109">
        <v>-4.5044305999999996E-3</v>
      </c>
      <c r="CF109">
        <v>-0.14042853</v>
      </c>
      <c r="CG109">
        <v>5.6247579999999998E-2</v>
      </c>
      <c r="CH109">
        <v>-0.40997420000000001</v>
      </c>
      <c r="CI109">
        <v>8.9665330000000001E-2</v>
      </c>
      <c r="CJ109">
        <v>4.4302859999999999E-2</v>
      </c>
      <c r="CK109">
        <v>-2.6210575999999999E-2</v>
      </c>
      <c r="CL109">
        <v>8.8158749999999994E-2</v>
      </c>
      <c r="CM109">
        <v>-9.356188E-2</v>
      </c>
      <c r="CN109">
        <v>0.23449967999999999</v>
      </c>
      <c r="CO109">
        <v>-4.6596310000000002E-2</v>
      </c>
      <c r="CP109">
        <v>-5.5749997000000003E-2</v>
      </c>
      <c r="CQ109">
        <v>0.16954952000000001</v>
      </c>
      <c r="CR109">
        <v>-7.5213189999999999E-2</v>
      </c>
      <c r="CS109">
        <v>0.11042288</v>
      </c>
      <c r="CT109">
        <v>8.570738E-2</v>
      </c>
      <c r="CU109">
        <v>6.7417489999999997E-2</v>
      </c>
      <c r="CV109">
        <v>8.5340070000000004E-2</v>
      </c>
      <c r="CW109">
        <v>-0.11826038</v>
      </c>
      <c r="CX109">
        <v>8.0231345999999995E-2</v>
      </c>
      <c r="CY109">
        <v>3.0082584999999999E-3</v>
      </c>
      <c r="CZ109">
        <v>-0.22936355</v>
      </c>
      <c r="DA109">
        <v>-0.13774866999999999</v>
      </c>
      <c r="DB109">
        <v>-0.14343627</v>
      </c>
      <c r="DC109">
        <v>-9.6873609999999999E-2</v>
      </c>
      <c r="DD109">
        <v>-0.12047735599999999</v>
      </c>
      <c r="DE109">
        <v>4.3917570000000003E-2</v>
      </c>
      <c r="DF109">
        <v>0.28845015000000002</v>
      </c>
      <c r="DG109">
        <v>7.0788229999999994E-2</v>
      </c>
      <c r="DH109">
        <v>6.9218269999999998E-2</v>
      </c>
      <c r="DI109">
        <v>4.9975301999999999E-2</v>
      </c>
      <c r="DJ109">
        <v>9.6003346000000003E-2</v>
      </c>
      <c r="DK109">
        <v>5.938533E-2</v>
      </c>
      <c r="DL109">
        <v>-2.5191246E-2</v>
      </c>
      <c r="DM109">
        <v>7.8593336E-2</v>
      </c>
      <c r="DN109">
        <v>0.2529787</v>
      </c>
      <c r="DO109">
        <v>1.3885461E-2</v>
      </c>
      <c r="DP109">
        <v>6.2373212999999997E-2</v>
      </c>
      <c r="DQ109">
        <v>-8.6519695999999993E-2</v>
      </c>
      <c r="DR109">
        <v>0.17119471999999999</v>
      </c>
      <c r="DS109">
        <v>-2.9340050999999999E-2</v>
      </c>
      <c r="DT109">
        <v>9.889117E-2</v>
      </c>
      <c r="DU109">
        <v>8.1039150000000004E-2</v>
      </c>
      <c r="DV109">
        <v>-0.56724255999999995</v>
      </c>
      <c r="DW109">
        <v>-3.9918106000000002E-2</v>
      </c>
      <c r="DX109">
        <v>-0.109221816</v>
      </c>
      <c r="DY109">
        <v>6.7217680000000002E-2</v>
      </c>
      <c r="DZ109">
        <v>0.20765948000000001</v>
      </c>
    </row>
    <row r="110" spans="1:130" x14ac:dyDescent="0.3">
      <c r="A110">
        <f>Board!$L$10</f>
        <v>0</v>
      </c>
      <c r="C110">
        <v>6.3842125E-2</v>
      </c>
      <c r="D110">
        <v>3.8585924000000001E-2</v>
      </c>
      <c r="E110">
        <v>-8.0440514000000005E-2</v>
      </c>
      <c r="F110">
        <v>-0.30664491999999999</v>
      </c>
      <c r="G110">
        <v>0.18651031000000001</v>
      </c>
      <c r="H110">
        <v>0.34210997999999998</v>
      </c>
      <c r="I110">
        <v>0.12116078</v>
      </c>
      <c r="J110">
        <v>0.27931075999999999</v>
      </c>
      <c r="K110">
        <v>0.30433320000000003</v>
      </c>
      <c r="L110">
        <v>-0.21441731999999999</v>
      </c>
      <c r="M110">
        <v>-5.6664586000000003E-2</v>
      </c>
      <c r="N110">
        <v>0.19098080000000001</v>
      </c>
      <c r="O110">
        <v>-0.20791312000000001</v>
      </c>
      <c r="P110">
        <v>-0.33588849999999998</v>
      </c>
      <c r="Q110">
        <v>-7.2688325999999998E-2</v>
      </c>
      <c r="R110">
        <v>0.14602461</v>
      </c>
      <c r="S110">
        <v>1.7007995000000001E-2</v>
      </c>
      <c r="T110">
        <v>0.26868249999999999</v>
      </c>
      <c r="U110">
        <v>-1.3708142E-2</v>
      </c>
      <c r="V110">
        <v>0.119491994</v>
      </c>
      <c r="W110">
        <v>0.20787832000000001</v>
      </c>
      <c r="X110">
        <v>-0.23477598999999999</v>
      </c>
      <c r="Y110">
        <v>-0.29215273000000003</v>
      </c>
      <c r="Z110">
        <v>0.25531619999999999</v>
      </c>
      <c r="AA110">
        <v>9.4813309999999998E-2</v>
      </c>
      <c r="AB110">
        <v>-7.1645214999999998E-2</v>
      </c>
      <c r="AC110">
        <v>3.0321434000000001E-2</v>
      </c>
      <c r="AD110">
        <v>5.4770989999999999E-2</v>
      </c>
      <c r="AE110">
        <v>0.32750210000000002</v>
      </c>
      <c r="AF110">
        <v>-0.11567922999999999</v>
      </c>
      <c r="AG110">
        <v>-0.24636053999999999</v>
      </c>
      <c r="AH110">
        <v>0.30332746999999999</v>
      </c>
      <c r="AI110">
        <v>0.2113949</v>
      </c>
      <c r="AJ110">
        <v>0.16647150999999999</v>
      </c>
      <c r="AK110">
        <v>-1.3859343999999999E-2</v>
      </c>
      <c r="AL110">
        <v>-0.18713093</v>
      </c>
      <c r="AM110">
        <v>0.2569149</v>
      </c>
      <c r="AN110">
        <v>-0.23393607</v>
      </c>
      <c r="AO110">
        <v>-0.13416752000000001</v>
      </c>
      <c r="AP110">
        <v>-0.218588</v>
      </c>
      <c r="AQ110">
        <v>4.7887776E-2</v>
      </c>
      <c r="AR110">
        <v>-0.15459217</v>
      </c>
      <c r="AS110">
        <v>0.33927849999999998</v>
      </c>
      <c r="AT110">
        <v>-0.33558816000000002</v>
      </c>
      <c r="AU110">
        <v>0.14660881000000001</v>
      </c>
      <c r="AV110">
        <v>-0.20106244000000001</v>
      </c>
      <c r="AW110">
        <v>4.6994064000000002E-2</v>
      </c>
      <c r="AX110">
        <v>0.15538742</v>
      </c>
      <c r="AY110">
        <v>0.25803243999999997</v>
      </c>
      <c r="AZ110">
        <v>-0.10114709</v>
      </c>
      <c r="BA110">
        <v>0.12029859399999999</v>
      </c>
      <c r="BB110">
        <v>-0.33921217999999997</v>
      </c>
      <c r="BC110">
        <v>-7.2385389999999994E-2</v>
      </c>
      <c r="BD110">
        <v>-3.9046057000000002E-2</v>
      </c>
      <c r="BE110">
        <v>-0.11198725599999999</v>
      </c>
      <c r="BF110">
        <v>-0.42974560000000001</v>
      </c>
      <c r="BG110">
        <v>-0.23633392</v>
      </c>
      <c r="BH110">
        <v>0.22403416000000001</v>
      </c>
      <c r="BI110">
        <v>0.14519124</v>
      </c>
      <c r="BJ110">
        <v>-7.6541774000000007E-2</v>
      </c>
      <c r="BK110">
        <v>-7.5645420000000005E-2</v>
      </c>
      <c r="BL110">
        <v>-7.7259750000000002E-2</v>
      </c>
      <c r="BM110">
        <v>-0.20051102000000001</v>
      </c>
      <c r="BN110">
        <v>-1.067774E-2</v>
      </c>
      <c r="BO110">
        <v>2.8103953000000001E-2</v>
      </c>
      <c r="BP110">
        <v>0.17108698</v>
      </c>
      <c r="BQ110">
        <v>0.19279711999999999</v>
      </c>
      <c r="BR110">
        <v>-0.46375909999999998</v>
      </c>
      <c r="BS110">
        <v>2.7281914000000002E-3</v>
      </c>
      <c r="BT110">
        <v>0.15797765999999999</v>
      </c>
      <c r="BU110">
        <v>-0.38342890000000002</v>
      </c>
      <c r="BV110">
        <v>-0.10542254</v>
      </c>
      <c r="BW110">
        <v>-0.13639703</v>
      </c>
      <c r="BX110">
        <v>-7.1194670000000002E-2</v>
      </c>
      <c r="BY110">
        <v>2.7861516999999999E-2</v>
      </c>
      <c r="BZ110">
        <v>0.11793873000000001</v>
      </c>
      <c r="CA110">
        <v>-0.17080697</v>
      </c>
      <c r="CB110">
        <v>0.21555662</v>
      </c>
      <c r="CC110">
        <v>-2.7078692000000001E-2</v>
      </c>
      <c r="CD110">
        <v>0.16733381</v>
      </c>
      <c r="CE110">
        <v>0.15137912000000001</v>
      </c>
      <c r="CF110">
        <v>0.17199248</v>
      </c>
      <c r="CG110">
        <v>-0.10745188999999999</v>
      </c>
      <c r="CH110">
        <v>-0.11684169599999999</v>
      </c>
      <c r="CI110">
        <v>0.20692827999999999</v>
      </c>
      <c r="CJ110">
        <v>0.11643176</v>
      </c>
      <c r="CK110">
        <v>-0.31175423000000002</v>
      </c>
      <c r="CL110">
        <v>-3.8568699999999997E-2</v>
      </c>
      <c r="CM110">
        <v>0.21831927000000001</v>
      </c>
      <c r="CN110">
        <v>0.22543553999999999</v>
      </c>
      <c r="CO110">
        <v>0.17106418000000001</v>
      </c>
      <c r="CP110">
        <v>-6.4158863999999996E-2</v>
      </c>
      <c r="CQ110">
        <v>-5.7556164E-3</v>
      </c>
      <c r="CR110">
        <v>-3.9375870000000002E-3</v>
      </c>
      <c r="CS110">
        <v>9.2075409999999996E-2</v>
      </c>
      <c r="CT110">
        <v>1.8959071000000001E-2</v>
      </c>
      <c r="CU110">
        <v>-0.11886840999999999</v>
      </c>
      <c r="CV110">
        <v>-3.20019E-2</v>
      </c>
      <c r="CW110">
        <v>9.9582024000000005E-2</v>
      </c>
      <c r="CX110">
        <v>3.3667005999999999E-2</v>
      </c>
      <c r="CY110">
        <v>-0.12452607</v>
      </c>
      <c r="CZ110">
        <v>-9.9138409999999996E-2</v>
      </c>
      <c r="DA110">
        <v>0.11272451999999999</v>
      </c>
      <c r="DB110">
        <v>-8.6118700000000006E-2</v>
      </c>
      <c r="DC110">
        <v>-0.12670074000000001</v>
      </c>
      <c r="DD110">
        <v>3.055747E-2</v>
      </c>
      <c r="DE110">
        <v>-3.1198626E-2</v>
      </c>
      <c r="DF110">
        <v>0.16100743000000001</v>
      </c>
      <c r="DG110">
        <v>0.20956673000000001</v>
      </c>
      <c r="DH110">
        <v>0.11168127</v>
      </c>
      <c r="DI110">
        <v>-2.1353027E-2</v>
      </c>
      <c r="DJ110">
        <v>-9.8908689999999994E-2</v>
      </c>
      <c r="DK110">
        <v>6.6456119999999994E-2</v>
      </c>
      <c r="DL110">
        <v>-8.127537E-2</v>
      </c>
      <c r="DM110">
        <v>0.12741511999999999</v>
      </c>
      <c r="DN110">
        <v>0.15691367000000001</v>
      </c>
      <c r="DO110">
        <v>5.9668555999999998E-2</v>
      </c>
      <c r="DP110">
        <v>7.4097596000000002E-2</v>
      </c>
      <c r="DQ110">
        <v>4.7875486000000002E-2</v>
      </c>
      <c r="DR110">
        <v>0.14621361999999999</v>
      </c>
      <c r="DS110">
        <v>0.18490764000000001</v>
      </c>
      <c r="DT110">
        <v>2.3622163000000002E-2</v>
      </c>
      <c r="DU110">
        <v>6.6532460000000002E-2</v>
      </c>
      <c r="DV110">
        <v>-0.49559700000000001</v>
      </c>
      <c r="DW110">
        <v>-0.14557976</v>
      </c>
      <c r="DX110">
        <v>-9.7472139999999999E-2</v>
      </c>
      <c r="DY110">
        <v>-0.20570369999999999</v>
      </c>
      <c r="DZ110">
        <v>0.23281567</v>
      </c>
    </row>
    <row r="111" spans="1:130" x14ac:dyDescent="0.3">
      <c r="A111">
        <f>Board!$M$10</f>
        <v>0</v>
      </c>
      <c r="C111">
        <v>0.16946254999999999</v>
      </c>
      <c r="D111">
        <v>0.23876639</v>
      </c>
      <c r="E111">
        <v>-4.2987286999999999E-2</v>
      </c>
      <c r="F111">
        <v>-4.4135590000000002E-2</v>
      </c>
      <c r="G111">
        <v>0.21073262000000001</v>
      </c>
      <c r="H111">
        <v>-0.23531226999999999</v>
      </c>
      <c r="I111">
        <v>-0.114072435</v>
      </c>
      <c r="J111">
        <v>0.25325623000000003</v>
      </c>
      <c r="K111">
        <v>4.6111729999999997E-2</v>
      </c>
      <c r="L111">
        <v>-7.6170840000000004E-2</v>
      </c>
      <c r="M111">
        <v>8.4840120000000005E-2</v>
      </c>
      <c r="N111">
        <v>0.12531543000000001</v>
      </c>
      <c r="O111">
        <v>-0.44648638000000002</v>
      </c>
      <c r="P111">
        <v>-0.1379766</v>
      </c>
      <c r="Q111">
        <v>0.23543839999999999</v>
      </c>
      <c r="R111">
        <v>0.1262363</v>
      </c>
      <c r="S111">
        <v>0.24043893999999999</v>
      </c>
      <c r="T111">
        <v>-9.8388619999999996E-2</v>
      </c>
      <c r="U111">
        <v>-0.13811166999999999</v>
      </c>
      <c r="V111">
        <v>-0.33294022000000001</v>
      </c>
      <c r="W111">
        <v>-2.6774435999999999E-2</v>
      </c>
      <c r="X111">
        <v>-4.5550693000000003E-2</v>
      </c>
      <c r="Y111">
        <v>4.9137409999999999E-2</v>
      </c>
      <c r="Z111">
        <v>-3.2267592999999997E-2</v>
      </c>
      <c r="AA111">
        <v>-0.29258096</v>
      </c>
      <c r="AB111">
        <v>0.10448971</v>
      </c>
      <c r="AC111">
        <v>0.37359356999999999</v>
      </c>
      <c r="AD111">
        <v>0.2392918</v>
      </c>
      <c r="AE111">
        <v>7.4871615000000002E-2</v>
      </c>
      <c r="AF111">
        <v>-0.10746926</v>
      </c>
      <c r="AG111">
        <v>4.9944397000000001E-2</v>
      </c>
      <c r="AH111">
        <v>0.48615547999999997</v>
      </c>
      <c r="AI111">
        <v>0.26348253999999999</v>
      </c>
      <c r="AJ111">
        <v>-0.27997524000000001</v>
      </c>
      <c r="AK111">
        <v>0.32844746000000002</v>
      </c>
      <c r="AL111">
        <v>-2.7897703999999999E-2</v>
      </c>
      <c r="AM111">
        <v>0.37794032999999999</v>
      </c>
      <c r="AN111">
        <v>-0.43392193000000001</v>
      </c>
      <c r="AO111">
        <v>-0.24136511999999999</v>
      </c>
      <c r="AP111">
        <v>-0.29171130000000001</v>
      </c>
      <c r="AQ111">
        <v>1.0687946E-2</v>
      </c>
      <c r="AR111">
        <v>-3.7616736999999997E-2</v>
      </c>
      <c r="AS111">
        <v>-0.2897613</v>
      </c>
      <c r="AT111">
        <v>-0.24579993999999999</v>
      </c>
      <c r="AU111">
        <v>-0.37187841999999999</v>
      </c>
      <c r="AV111">
        <v>-9.5860310000000001E-3</v>
      </c>
      <c r="AW111">
        <v>0.36705562000000003</v>
      </c>
      <c r="AX111">
        <v>0.35634969999999999</v>
      </c>
      <c r="AY111">
        <v>0.21739522999999999</v>
      </c>
      <c r="AZ111">
        <v>0.16683339</v>
      </c>
      <c r="BA111">
        <v>0.29684502000000001</v>
      </c>
      <c r="BB111">
        <v>-3.1615459999999998E-2</v>
      </c>
      <c r="BC111">
        <v>0.13355727000000001</v>
      </c>
      <c r="BD111">
        <v>0.45105112000000003</v>
      </c>
      <c r="BE111">
        <v>-0.22412858999999999</v>
      </c>
      <c r="BF111">
        <v>-9.2812950000000005E-2</v>
      </c>
      <c r="BG111">
        <v>4.076142E-2</v>
      </c>
      <c r="BH111">
        <v>0.29384300000000002</v>
      </c>
      <c r="BI111">
        <v>-0.18871660000000001</v>
      </c>
      <c r="BJ111">
        <v>0.20468011</v>
      </c>
      <c r="BK111">
        <v>-0.1993296</v>
      </c>
      <c r="BL111">
        <v>-0.16453712000000001</v>
      </c>
      <c r="BM111">
        <v>-8.7104689999999999E-2</v>
      </c>
      <c r="BN111">
        <v>-0.10135081</v>
      </c>
      <c r="BO111">
        <v>0.24377660000000001</v>
      </c>
      <c r="BP111">
        <v>-4.742568E-3</v>
      </c>
      <c r="BQ111">
        <v>0.19398001000000001</v>
      </c>
      <c r="BR111">
        <v>-0.28689933000000001</v>
      </c>
      <c r="BS111">
        <v>0.18375950999999999</v>
      </c>
      <c r="BT111">
        <v>0.38514733000000001</v>
      </c>
      <c r="BU111">
        <v>-0.25111573999999998</v>
      </c>
      <c r="BV111">
        <v>-6.4845E-2</v>
      </c>
      <c r="BW111">
        <v>-1.2413680999999999E-2</v>
      </c>
      <c r="BX111">
        <v>-0.2837751</v>
      </c>
      <c r="BY111">
        <v>-9.654654E-2</v>
      </c>
      <c r="BZ111">
        <v>0.44602915999999998</v>
      </c>
      <c r="CA111">
        <v>-0.25924858000000001</v>
      </c>
      <c r="CB111">
        <v>5.5907458E-2</v>
      </c>
      <c r="CC111">
        <v>6.79342E-2</v>
      </c>
      <c r="CD111">
        <v>-0.3245441</v>
      </c>
      <c r="CE111">
        <v>0.3150443</v>
      </c>
      <c r="CF111">
        <v>0.4522622</v>
      </c>
      <c r="CG111">
        <v>-0.21522173</v>
      </c>
      <c r="CH111">
        <v>-0.20784269999999999</v>
      </c>
      <c r="CI111">
        <v>0.23708615</v>
      </c>
      <c r="CJ111">
        <v>0.4784562</v>
      </c>
      <c r="CK111">
        <v>-3.9579358000000002E-2</v>
      </c>
      <c r="CL111">
        <v>3.9676845000000002E-2</v>
      </c>
      <c r="CM111">
        <v>0.24508940000000001</v>
      </c>
      <c r="CN111">
        <v>0.34652749999999999</v>
      </c>
      <c r="CO111">
        <v>8.7155819999999995E-2</v>
      </c>
      <c r="CP111">
        <v>-0.12753195000000001</v>
      </c>
      <c r="CQ111">
        <v>0.15694949999999999</v>
      </c>
      <c r="CR111">
        <v>0.58168059999999999</v>
      </c>
      <c r="CS111">
        <v>0.25175305999999997</v>
      </c>
      <c r="CT111">
        <v>8.7351105999999998E-2</v>
      </c>
      <c r="CU111">
        <v>-0.48730372999999999</v>
      </c>
      <c r="CV111">
        <v>-5.3464916000000001E-2</v>
      </c>
      <c r="CW111">
        <v>0.29213317999999999</v>
      </c>
      <c r="CX111">
        <v>0.20182992999999999</v>
      </c>
      <c r="CY111">
        <v>-5.9545550000000003E-2</v>
      </c>
      <c r="CZ111">
        <v>-5.4031120000000002E-2</v>
      </c>
      <c r="DA111">
        <v>-0.28957406000000002</v>
      </c>
      <c r="DB111">
        <v>0.26832889999999998</v>
      </c>
      <c r="DC111">
        <v>-0.27723402000000003</v>
      </c>
      <c r="DD111">
        <v>-6.3851215000000003E-2</v>
      </c>
      <c r="DE111">
        <v>0.14301253999999999</v>
      </c>
      <c r="DF111">
        <v>2.1449513999999999E-2</v>
      </c>
      <c r="DG111">
        <v>0.20051232999999999</v>
      </c>
      <c r="DH111">
        <v>0.15356434999999999</v>
      </c>
      <c r="DI111">
        <v>6.4973710000000004E-2</v>
      </c>
      <c r="DJ111">
        <v>-6.9285700000000006E-2</v>
      </c>
      <c r="DK111">
        <v>-0.22663902999999999</v>
      </c>
      <c r="DL111">
        <v>-0.11629594</v>
      </c>
      <c r="DM111">
        <v>3.1277834999999997E-2</v>
      </c>
      <c r="DN111">
        <v>0.32253747999999999</v>
      </c>
      <c r="DO111">
        <v>0.21413508000000001</v>
      </c>
      <c r="DP111">
        <v>-8.8059159999999997E-2</v>
      </c>
      <c r="DQ111">
        <v>-0.10182930499999999</v>
      </c>
      <c r="DR111">
        <v>0.15735051</v>
      </c>
      <c r="DS111">
        <v>0.30450751999999998</v>
      </c>
      <c r="DT111">
        <v>-0.18095717</v>
      </c>
      <c r="DU111">
        <v>-0.2829141</v>
      </c>
      <c r="DV111">
        <v>-3.9513189999999997E-2</v>
      </c>
      <c r="DW111">
        <v>-4.7076030000000003E-3</v>
      </c>
      <c r="DX111">
        <v>0.30758655000000001</v>
      </c>
      <c r="DY111">
        <v>-8.7508069999999993E-2</v>
      </c>
      <c r="DZ111">
        <v>-2.5239749999999998E-2</v>
      </c>
    </row>
    <row r="112" spans="1:130" x14ac:dyDescent="0.3">
      <c r="A112">
        <f>Board!$B$11</f>
        <v>0</v>
      </c>
      <c r="C112">
        <v>0.31285632000000002</v>
      </c>
      <c r="D112">
        <v>-9.8926920000000002E-2</v>
      </c>
      <c r="E112">
        <v>-0.13420086000000001</v>
      </c>
      <c r="F112">
        <v>-0.17972289</v>
      </c>
      <c r="G112">
        <v>-0.17880470000000001</v>
      </c>
      <c r="H112">
        <v>8.6439260000000004E-2</v>
      </c>
      <c r="I112">
        <v>-0.32268423000000002</v>
      </c>
      <c r="J112">
        <v>0.23475752999999999</v>
      </c>
      <c r="K112">
        <v>0.23573431</v>
      </c>
      <c r="L112">
        <v>0.28366037999999999</v>
      </c>
      <c r="M112">
        <v>-7.1621460000000003E-3</v>
      </c>
      <c r="N112">
        <v>-4.8267341999999998E-2</v>
      </c>
      <c r="O112">
        <v>0.121581145</v>
      </c>
      <c r="P112">
        <v>-0.25526616000000002</v>
      </c>
      <c r="Q112">
        <v>0.15942633</v>
      </c>
      <c r="R112">
        <v>6.7292920000000006E-2</v>
      </c>
      <c r="S112">
        <v>6.9460740000000007E-2</v>
      </c>
      <c r="T112">
        <v>0.17194137000000001</v>
      </c>
      <c r="U112">
        <v>-3.4992453E-2</v>
      </c>
      <c r="V112">
        <v>0.15348771</v>
      </c>
      <c r="W112">
        <v>7.0039056000000002E-2</v>
      </c>
      <c r="X112">
        <v>-0.15889195</v>
      </c>
      <c r="Y112">
        <v>-0.3154401</v>
      </c>
      <c r="Z112">
        <v>0.25923629999999998</v>
      </c>
      <c r="AA112">
        <v>0.1445864</v>
      </c>
      <c r="AB112">
        <v>0.19320232000000001</v>
      </c>
      <c r="AC112">
        <v>-0.20811565000000001</v>
      </c>
      <c r="AD112">
        <v>-3.5087220000000002E-2</v>
      </c>
      <c r="AE112">
        <v>-0.17695588000000001</v>
      </c>
      <c r="AF112">
        <v>-7.0159170000000007E-2</v>
      </c>
      <c r="AG112">
        <v>-0.16233483000000001</v>
      </c>
      <c r="AH112">
        <v>0.12105971</v>
      </c>
      <c r="AI112">
        <v>-9.2574409999999996E-2</v>
      </c>
      <c r="AJ112">
        <v>0.14785145</v>
      </c>
      <c r="AK112">
        <v>0.106007874</v>
      </c>
      <c r="AL112">
        <v>9.4870030000000008E-3</v>
      </c>
      <c r="AM112">
        <v>-4.2715481999999999E-2</v>
      </c>
      <c r="AN112">
        <v>6.5535105999999996E-2</v>
      </c>
      <c r="AO112">
        <v>0.27537974999999998</v>
      </c>
      <c r="AP112">
        <v>-7.0254165000000002E-3</v>
      </c>
      <c r="AQ112">
        <v>-0.28855392000000002</v>
      </c>
      <c r="AR112">
        <v>-0.11898699</v>
      </c>
      <c r="AS112">
        <v>-0.30176508000000002</v>
      </c>
      <c r="AT112">
        <v>2.4329353000000001E-2</v>
      </c>
      <c r="AU112">
        <v>0.11612909</v>
      </c>
      <c r="AV112">
        <v>-0.106685445</v>
      </c>
      <c r="AW112">
        <v>-0.10114684</v>
      </c>
      <c r="AX112">
        <v>2.8406177000000001E-2</v>
      </c>
      <c r="AY112">
        <v>5.5667995999999997E-2</v>
      </c>
      <c r="AZ112">
        <v>1.9475196E-2</v>
      </c>
      <c r="BA112">
        <v>-0.2064173</v>
      </c>
      <c r="BB112">
        <v>-4.4112723E-2</v>
      </c>
      <c r="BC112">
        <v>0.34033187999999998</v>
      </c>
      <c r="BD112">
        <v>-0.15024509999999999</v>
      </c>
      <c r="BE112">
        <v>0.30147225</v>
      </c>
      <c r="BF112">
        <v>0.27889170000000002</v>
      </c>
      <c r="BG112">
        <v>-4.4751002999999998E-2</v>
      </c>
      <c r="BH112">
        <v>-6.4851309999999995E-2</v>
      </c>
      <c r="BI112">
        <v>0.25524506000000002</v>
      </c>
      <c r="BJ112">
        <v>-8.0003699999999997E-2</v>
      </c>
      <c r="BK112">
        <v>-8.8731279999999996E-2</v>
      </c>
      <c r="BL112">
        <v>0.19872811000000001</v>
      </c>
      <c r="BM112">
        <v>-3.6503922000000001E-2</v>
      </c>
      <c r="BN112">
        <v>-0.16329759999999999</v>
      </c>
      <c r="BO112">
        <v>0.13182553999999999</v>
      </c>
      <c r="BP112">
        <v>0.15029284000000001</v>
      </c>
      <c r="BQ112">
        <v>0.33197349999999998</v>
      </c>
      <c r="BR112">
        <v>-0.15525314000000001</v>
      </c>
      <c r="BS112">
        <v>4.4582209999999997E-2</v>
      </c>
      <c r="BT112">
        <v>0.18596245</v>
      </c>
      <c r="BU112">
        <v>-8.8887900000000006E-2</v>
      </c>
      <c r="BV112">
        <v>6.6872470000000003E-2</v>
      </c>
      <c r="BW112">
        <v>0.16999549</v>
      </c>
      <c r="BX112">
        <v>-9.7441600000000003E-2</v>
      </c>
      <c r="BY112">
        <v>6.2977640000000001E-2</v>
      </c>
      <c r="BZ112">
        <v>-0.13423741</v>
      </c>
      <c r="CA112">
        <v>0.32818492999999999</v>
      </c>
      <c r="CB112">
        <v>0.32177460000000002</v>
      </c>
      <c r="CC112">
        <v>0.23202904999999999</v>
      </c>
      <c r="CD112">
        <v>0.17912196999999999</v>
      </c>
      <c r="CE112">
        <v>5.4188430000000003E-2</v>
      </c>
      <c r="CF112">
        <v>0.10694840999999999</v>
      </c>
      <c r="CG112">
        <v>0.13023867</v>
      </c>
      <c r="CH112">
        <v>-0.20902208999999999</v>
      </c>
      <c r="CI112">
        <v>-0.23664769999999999</v>
      </c>
      <c r="CJ112">
        <v>-5.8567076999999999E-3</v>
      </c>
      <c r="CK112">
        <v>0.120462544</v>
      </c>
      <c r="CL112">
        <v>0.12893536999999999</v>
      </c>
      <c r="CM112">
        <v>1.7838076000000001E-2</v>
      </c>
      <c r="CN112">
        <v>0.22381197</v>
      </c>
      <c r="CO112">
        <v>-1.9038727000000001E-3</v>
      </c>
      <c r="CP112">
        <v>-0.15144083</v>
      </c>
      <c r="CQ112">
        <v>-7.5102070000000007E-2</v>
      </c>
      <c r="CR112">
        <v>0.16789693</v>
      </c>
      <c r="CS112">
        <v>4.6628658000000003E-2</v>
      </c>
      <c r="CT112">
        <v>0.44004035000000002</v>
      </c>
      <c r="CU112">
        <v>0.16609786000000001</v>
      </c>
      <c r="CV112">
        <v>3.450056E-3</v>
      </c>
      <c r="CW112">
        <v>1.5144576999999999E-2</v>
      </c>
      <c r="CX112">
        <v>1.2058796E-2</v>
      </c>
      <c r="CY112">
        <v>-1.0378729E-2</v>
      </c>
      <c r="CZ112">
        <v>-0.22633320000000001</v>
      </c>
      <c r="DA112">
        <v>-0.27779892</v>
      </c>
      <c r="DB112">
        <v>0.48780212000000001</v>
      </c>
      <c r="DC112">
        <v>9.0356699999999998E-2</v>
      </c>
      <c r="DD112">
        <v>-0.11518521</v>
      </c>
      <c r="DE112">
        <v>0.15930578000000001</v>
      </c>
      <c r="DF112">
        <v>1.7186805999999999E-2</v>
      </c>
      <c r="DG112">
        <v>-8.2800529999999997E-2</v>
      </c>
      <c r="DH112">
        <v>-0.14852893</v>
      </c>
      <c r="DI112">
        <v>-0.10964581</v>
      </c>
      <c r="DJ112">
        <v>-8.9483246000000002E-2</v>
      </c>
      <c r="DK112">
        <v>0.14160972999999999</v>
      </c>
      <c r="DL112">
        <v>4.5646069999999997E-2</v>
      </c>
      <c r="DM112">
        <v>-0.14961284</v>
      </c>
      <c r="DN112">
        <v>0.38170648000000001</v>
      </c>
      <c r="DO112">
        <v>0.16054694</v>
      </c>
      <c r="DP112">
        <v>-0.15838747</v>
      </c>
      <c r="DQ112">
        <v>-7.4640449999999997E-2</v>
      </c>
      <c r="DR112">
        <v>0.15917231000000001</v>
      </c>
      <c r="DS112">
        <v>0.3330534</v>
      </c>
      <c r="DT112">
        <v>-0.20177813</v>
      </c>
      <c r="DU112">
        <v>-0.14565201</v>
      </c>
      <c r="DV112">
        <v>-0.12476349</v>
      </c>
      <c r="DW112">
        <v>-0.14942314000000001</v>
      </c>
      <c r="DX112">
        <v>-4.7414659999999997E-2</v>
      </c>
      <c r="DY112">
        <v>-0.12497127</v>
      </c>
      <c r="DZ112">
        <v>0.15748543000000001</v>
      </c>
    </row>
    <row r="113" spans="1:130" x14ac:dyDescent="0.3">
      <c r="A113">
        <f>Board!$C$11</f>
        <v>0</v>
      </c>
      <c r="C113">
        <v>5.7117465999999999E-2</v>
      </c>
      <c r="D113">
        <v>0.23009224</v>
      </c>
      <c r="E113">
        <v>8.1957329999999995E-2</v>
      </c>
      <c r="F113">
        <v>-7.7051480000000006E-2</v>
      </c>
      <c r="G113">
        <v>-7.0419280000000001E-2</v>
      </c>
      <c r="H113">
        <v>0.12626113999999999</v>
      </c>
      <c r="I113">
        <v>5.6600696999999998E-2</v>
      </c>
      <c r="J113">
        <v>0.24920522000000001</v>
      </c>
      <c r="K113">
        <v>0.12974838999999999</v>
      </c>
      <c r="L113">
        <v>0.27031377000000001</v>
      </c>
      <c r="M113">
        <v>0.16151375000000001</v>
      </c>
      <c r="N113">
        <v>-4.2946353999999999E-2</v>
      </c>
      <c r="O113">
        <v>6.6085069999999996E-2</v>
      </c>
      <c r="P113">
        <v>-0.21149129</v>
      </c>
      <c r="Q113">
        <v>3.1969959999999999E-2</v>
      </c>
      <c r="R113">
        <v>0.11349893</v>
      </c>
      <c r="S113">
        <v>8.0856700000000004E-2</v>
      </c>
      <c r="T113">
        <v>0.27380767</v>
      </c>
      <c r="U113">
        <v>5.5337384000000003E-2</v>
      </c>
      <c r="V113">
        <v>-5.0458019999999999E-2</v>
      </c>
      <c r="W113">
        <v>7.2303996000000004E-3</v>
      </c>
      <c r="X113">
        <v>-0.12978466999999999</v>
      </c>
      <c r="Y113">
        <v>-5.7879232000000003E-2</v>
      </c>
      <c r="Z113">
        <v>0.19094259</v>
      </c>
      <c r="AA113">
        <v>0.14487644</v>
      </c>
      <c r="AB113">
        <v>-7.6163380000000003E-2</v>
      </c>
      <c r="AC113">
        <v>0.10725004</v>
      </c>
      <c r="AD113">
        <v>0.15213804</v>
      </c>
      <c r="AE113">
        <v>-8.1459080000000003E-2</v>
      </c>
      <c r="AF113">
        <v>-0.24138722000000001</v>
      </c>
      <c r="AG113">
        <v>-6.8339910000000004E-2</v>
      </c>
      <c r="AH113">
        <v>0.23147545999999999</v>
      </c>
      <c r="AI113">
        <v>0.13421588000000001</v>
      </c>
      <c r="AJ113">
        <v>0.37874206999999999</v>
      </c>
      <c r="AK113">
        <v>-8.4805460000000003E-3</v>
      </c>
      <c r="AL113">
        <v>-1.4809835E-2</v>
      </c>
      <c r="AM113">
        <v>-6.5715720000000005E-2</v>
      </c>
      <c r="AN113">
        <v>-3.4545016999999998E-3</v>
      </c>
      <c r="AO113">
        <v>-7.3245599999999994E-2</v>
      </c>
      <c r="AP113">
        <v>-0.22044649999999999</v>
      </c>
      <c r="AQ113">
        <v>3.5594029999999999E-2</v>
      </c>
      <c r="AR113">
        <v>-0.39345172</v>
      </c>
      <c r="AS113">
        <v>0.10163829000000001</v>
      </c>
      <c r="AT113">
        <v>-0.25833887</v>
      </c>
      <c r="AU113">
        <v>-9.5725279999999996E-2</v>
      </c>
      <c r="AV113">
        <v>-0.20652324999999999</v>
      </c>
      <c r="AW113">
        <v>-0.17817721</v>
      </c>
      <c r="AX113">
        <v>0.23108765000000001</v>
      </c>
      <c r="AY113">
        <v>0.26033392999999999</v>
      </c>
      <c r="AZ113">
        <v>-8.0083580000000001E-2</v>
      </c>
      <c r="BA113">
        <v>8.0155400000000002E-2</v>
      </c>
      <c r="BB113">
        <v>-5.7137324000000001E-3</v>
      </c>
      <c r="BC113">
        <v>8.3701070000000002E-2</v>
      </c>
      <c r="BD113">
        <v>0.22835635000000001</v>
      </c>
      <c r="BE113">
        <v>0.13249285999999999</v>
      </c>
      <c r="BF113">
        <v>0.20204892999999999</v>
      </c>
      <c r="BG113">
        <v>-0.32430302999999999</v>
      </c>
      <c r="BH113">
        <v>6.653796E-3</v>
      </c>
      <c r="BI113">
        <v>-8.6471179999999995E-2</v>
      </c>
      <c r="BJ113">
        <v>-0.27011415</v>
      </c>
      <c r="BK113">
        <v>-0.13601376000000001</v>
      </c>
      <c r="BL113">
        <v>-0.28641558</v>
      </c>
      <c r="BM113">
        <v>0.20622213</v>
      </c>
      <c r="BN113">
        <v>0.11842786</v>
      </c>
      <c r="BO113">
        <v>0.10666401</v>
      </c>
      <c r="BP113">
        <v>4.6707419999999999E-2</v>
      </c>
      <c r="BQ113">
        <v>6.9409559999999995E-2</v>
      </c>
      <c r="BR113">
        <v>6.6627169999999999E-2</v>
      </c>
      <c r="BS113">
        <v>0.36027480000000001</v>
      </c>
      <c r="BT113">
        <v>0.13503802000000001</v>
      </c>
      <c r="BU113">
        <v>-0.12900637000000001</v>
      </c>
      <c r="BV113">
        <v>-0.19779103000000001</v>
      </c>
      <c r="BW113">
        <v>-0.15767970000000001</v>
      </c>
      <c r="BX113">
        <v>-0.3239049</v>
      </c>
      <c r="BY113">
        <v>-5.0977309999999998E-2</v>
      </c>
      <c r="BZ113">
        <v>-4.6461484999999997E-2</v>
      </c>
      <c r="CA113">
        <v>4.2678000000000001E-2</v>
      </c>
      <c r="CB113">
        <v>0.26972573999999999</v>
      </c>
      <c r="CC113">
        <v>-0.16384162999999999</v>
      </c>
      <c r="CD113">
        <v>6.2264050000000001E-2</v>
      </c>
      <c r="CE113">
        <v>4.1680335999999998E-2</v>
      </c>
      <c r="CF113">
        <v>0.13247845999999999</v>
      </c>
      <c r="CG113">
        <v>0.11007709</v>
      </c>
      <c r="CH113">
        <v>-0.27999004999999999</v>
      </c>
      <c r="CI113">
        <v>3.1673079999999999E-2</v>
      </c>
      <c r="CJ113">
        <v>0.26366675000000001</v>
      </c>
      <c r="CK113">
        <v>-0.21982576000000001</v>
      </c>
      <c r="CL113">
        <v>0.33316115000000002</v>
      </c>
      <c r="CM113">
        <v>5.6164930000000002E-2</v>
      </c>
      <c r="CN113">
        <v>0.46820732999999998</v>
      </c>
      <c r="CO113">
        <v>0.10456274</v>
      </c>
      <c r="CP113">
        <v>-0.13362123000000001</v>
      </c>
      <c r="CQ113">
        <v>0.15204540999999999</v>
      </c>
      <c r="CR113">
        <v>0.2108611</v>
      </c>
      <c r="CS113">
        <v>7.6811459999999998E-2</v>
      </c>
      <c r="CT113">
        <v>0.17785200000000001</v>
      </c>
      <c r="CU113">
        <v>5.8315550000000004E-3</v>
      </c>
      <c r="CV113">
        <v>-0.17696503</v>
      </c>
      <c r="CW113">
        <v>0.21066713000000001</v>
      </c>
      <c r="CX113">
        <v>5.8922193999999997E-2</v>
      </c>
      <c r="CY113">
        <v>-0.17777783</v>
      </c>
      <c r="CZ113">
        <v>4.5312945E-2</v>
      </c>
      <c r="DA113">
        <v>-2.4711829000000001E-2</v>
      </c>
      <c r="DB113">
        <v>0.12055118400000001</v>
      </c>
      <c r="DC113">
        <v>7.8095533E-3</v>
      </c>
      <c r="DD113">
        <v>-0.11230852</v>
      </c>
      <c r="DE113">
        <v>0.15704918000000001</v>
      </c>
      <c r="DF113">
        <v>4.2885729999999997E-2</v>
      </c>
      <c r="DG113">
        <v>-3.4776679999999997E-2</v>
      </c>
      <c r="DH113">
        <v>-6.2701939999999998E-2</v>
      </c>
      <c r="DI113">
        <v>-0.15068926999999999</v>
      </c>
      <c r="DJ113">
        <v>-6.3322489999999995E-2</v>
      </c>
      <c r="DK113">
        <v>1.8000966E-2</v>
      </c>
      <c r="DL113">
        <v>-8.5087889999999999E-2</v>
      </c>
      <c r="DM113">
        <v>-8.0550620000000003E-2</v>
      </c>
      <c r="DN113">
        <v>5.0030514999999998E-2</v>
      </c>
      <c r="DO113">
        <v>-6.1787043E-2</v>
      </c>
      <c r="DP113">
        <v>-0.13631065000000001</v>
      </c>
      <c r="DQ113">
        <v>0.1537</v>
      </c>
      <c r="DR113">
        <v>0.19901294</v>
      </c>
      <c r="DS113">
        <v>0.20932239999999999</v>
      </c>
      <c r="DT113">
        <v>-0.10561224</v>
      </c>
      <c r="DU113">
        <v>-0.305558</v>
      </c>
      <c r="DV113">
        <v>1.8220528999999999E-2</v>
      </c>
      <c r="DW113">
        <v>-0.27072932999999999</v>
      </c>
      <c r="DX113">
        <v>0.17536980999999999</v>
      </c>
      <c r="DY113">
        <v>-0.18445621000000001</v>
      </c>
      <c r="DZ113">
        <v>3.7052943999999997E-2</v>
      </c>
    </row>
    <row r="114" spans="1:130" x14ac:dyDescent="0.3">
      <c r="A114">
        <f>Board!$D$11</f>
        <v>0</v>
      </c>
      <c r="C114">
        <v>-0.13128972</v>
      </c>
      <c r="D114">
        <v>0.18900394000000001</v>
      </c>
      <c r="E114">
        <v>-2.5902884000000001E-2</v>
      </c>
      <c r="F114">
        <v>-0.31238424999999997</v>
      </c>
      <c r="G114">
        <v>0.17294470000000001</v>
      </c>
      <c r="H114">
        <v>0.22279626</v>
      </c>
      <c r="I114">
        <v>-0.108838744</v>
      </c>
      <c r="J114">
        <v>0.19850601000000001</v>
      </c>
      <c r="K114">
        <v>3.6336175999999998E-2</v>
      </c>
      <c r="L114">
        <v>0.15435462</v>
      </c>
      <c r="M114">
        <v>-1.456998E-2</v>
      </c>
      <c r="N114">
        <v>0.14992663000000001</v>
      </c>
      <c r="O114">
        <v>0.15022904000000001</v>
      </c>
      <c r="P114">
        <v>-0.19221924000000001</v>
      </c>
      <c r="Q114">
        <v>2.8676677000000001E-2</v>
      </c>
      <c r="R114">
        <v>0.12789991000000001</v>
      </c>
      <c r="S114">
        <v>0.14223849999999999</v>
      </c>
      <c r="T114">
        <v>4.5739639999999998E-2</v>
      </c>
      <c r="U114">
        <v>6.7348610000000003E-2</v>
      </c>
      <c r="V114">
        <v>-0.23526226</v>
      </c>
      <c r="W114">
        <v>0.117069565</v>
      </c>
      <c r="X114">
        <v>3.5923419999999998E-2</v>
      </c>
      <c r="Y114">
        <v>0.12460825</v>
      </c>
      <c r="Z114">
        <v>0.21383740000000001</v>
      </c>
      <c r="AA114">
        <v>5.7146990000000002E-3</v>
      </c>
      <c r="AB114">
        <v>-6.7361130000000005E-2</v>
      </c>
      <c r="AC114">
        <v>7.8018210000000005E-2</v>
      </c>
      <c r="AD114">
        <v>0.1823169</v>
      </c>
      <c r="AE114">
        <v>0.19562961000000001</v>
      </c>
      <c r="AF114">
        <v>-0.44640901999999999</v>
      </c>
      <c r="AG114">
        <v>-0.14528635000000001</v>
      </c>
      <c r="AH114">
        <v>0.16635095999999999</v>
      </c>
      <c r="AI114">
        <v>0.14125498</v>
      </c>
      <c r="AJ114">
        <v>0.34639787999999999</v>
      </c>
      <c r="AK114">
        <v>-6.0788229999999999E-2</v>
      </c>
      <c r="AL114">
        <v>-0.17700938999999999</v>
      </c>
      <c r="AM114">
        <v>-0.22115750000000001</v>
      </c>
      <c r="AN114">
        <v>-2.0952248999999999E-2</v>
      </c>
      <c r="AO114">
        <v>-0.27347951999999998</v>
      </c>
      <c r="AP114">
        <v>6.4546204999999995E-2</v>
      </c>
      <c r="AQ114">
        <v>0.13350751999999999</v>
      </c>
      <c r="AR114">
        <v>-0.11047311999999999</v>
      </c>
      <c r="AS114">
        <v>0.14516717000000001</v>
      </c>
      <c r="AT114">
        <v>-1.18487505E-2</v>
      </c>
      <c r="AU114">
        <v>-0.23629479</v>
      </c>
      <c r="AV114">
        <v>-0.22021521999999999</v>
      </c>
      <c r="AW114">
        <v>-0.18414328999999999</v>
      </c>
      <c r="AX114">
        <v>8.2728624000000001E-2</v>
      </c>
      <c r="AY114">
        <v>0.21332681000000001</v>
      </c>
      <c r="AZ114">
        <v>0.101226486</v>
      </c>
      <c r="BA114">
        <v>-0.15640280000000001</v>
      </c>
      <c r="BB114">
        <v>0.11234584</v>
      </c>
      <c r="BC114">
        <v>-5.8948799999999999E-3</v>
      </c>
      <c r="BD114">
        <v>0.13812231999999999</v>
      </c>
      <c r="BE114">
        <v>1.5460446500000001E-2</v>
      </c>
      <c r="BF114">
        <v>0.25789309999999999</v>
      </c>
      <c r="BG114">
        <v>-0.37112774999999998</v>
      </c>
      <c r="BH114">
        <v>-0.115870714</v>
      </c>
      <c r="BI114">
        <v>-6.359273E-2</v>
      </c>
      <c r="BJ114">
        <v>-0.52926589999999996</v>
      </c>
      <c r="BK114">
        <v>1.4620194E-2</v>
      </c>
      <c r="BL114">
        <v>-0.24251148</v>
      </c>
      <c r="BM114">
        <v>-6.4872830000000006E-2</v>
      </c>
      <c r="BN114">
        <v>0.2060215</v>
      </c>
      <c r="BO114">
        <v>1.7412163000000001E-2</v>
      </c>
      <c r="BP114">
        <v>7.3944435000000003E-2</v>
      </c>
      <c r="BQ114">
        <v>6.3634035000000001E-4</v>
      </c>
      <c r="BR114">
        <v>0.17712130000000001</v>
      </c>
      <c r="BS114">
        <v>0.11557191999999999</v>
      </c>
      <c r="BT114">
        <v>-1.5387556E-4</v>
      </c>
      <c r="BU114">
        <v>-0.29119086</v>
      </c>
      <c r="BV114">
        <v>-0.24227524</v>
      </c>
      <c r="BW114">
        <v>-0.14340501999999999</v>
      </c>
      <c r="BX114">
        <v>-0.20144564000000001</v>
      </c>
      <c r="BY114">
        <v>0.19656259000000001</v>
      </c>
      <c r="BZ114">
        <v>-2.9902689999999999E-2</v>
      </c>
      <c r="CA114">
        <v>-4.3013747999999997E-2</v>
      </c>
      <c r="CB114">
        <v>0.24992286</v>
      </c>
      <c r="CC114">
        <v>-5.2018344000000001E-2</v>
      </c>
      <c r="CD114">
        <v>0.20278887000000001</v>
      </c>
      <c r="CE114">
        <v>-2.4080086000000001E-2</v>
      </c>
      <c r="CF114">
        <v>-0.12758765999999999</v>
      </c>
      <c r="CG114">
        <v>0.18680917</v>
      </c>
      <c r="CH114">
        <v>-0.34311613000000002</v>
      </c>
      <c r="CI114">
        <v>0.23294924</v>
      </c>
      <c r="CJ114">
        <v>0.35574728</v>
      </c>
      <c r="CK114">
        <v>-0.25968869999999999</v>
      </c>
      <c r="CL114">
        <v>0.22783065</v>
      </c>
      <c r="CM114">
        <v>-5.9643562999999997E-2</v>
      </c>
      <c r="CN114">
        <v>0.12169829</v>
      </c>
      <c r="CO114">
        <v>-2.85515E-2</v>
      </c>
      <c r="CP114">
        <v>-6.4176570000000002E-2</v>
      </c>
      <c r="CQ114">
        <v>7.8260540000000003E-2</v>
      </c>
      <c r="CR114">
        <v>5.930622E-3</v>
      </c>
      <c r="CS114">
        <v>2.0040318000000001E-2</v>
      </c>
      <c r="CT114">
        <v>0.13213183000000001</v>
      </c>
      <c r="CU114">
        <v>0.15161584</v>
      </c>
      <c r="CV114">
        <v>-2.4330274000000001E-3</v>
      </c>
      <c r="CW114">
        <v>0.2293915</v>
      </c>
      <c r="CX114">
        <v>8.3241805000000002E-2</v>
      </c>
      <c r="CY114">
        <v>-0.64122310000000005</v>
      </c>
      <c r="CZ114">
        <v>2.0807250999999999E-2</v>
      </c>
      <c r="DA114">
        <v>7.55382E-2</v>
      </c>
      <c r="DB114">
        <v>-2.3085043E-2</v>
      </c>
      <c r="DC114">
        <v>-0.25979474000000002</v>
      </c>
      <c r="DD114">
        <v>-0.13214319999999999</v>
      </c>
      <c r="DE114">
        <v>0.24980073</v>
      </c>
      <c r="DF114">
        <v>-0.14388096</v>
      </c>
      <c r="DG114">
        <v>-0.10306656</v>
      </c>
      <c r="DH114">
        <v>-0.18209359</v>
      </c>
      <c r="DI114">
        <v>-4.5188486999999999E-2</v>
      </c>
      <c r="DJ114">
        <v>6.5448580000000006E-2</v>
      </c>
      <c r="DK114">
        <v>-1.6649480000000001E-2</v>
      </c>
      <c r="DL114">
        <v>-0.1710265</v>
      </c>
      <c r="DM114">
        <v>-4.5362899999999998E-2</v>
      </c>
      <c r="DN114">
        <v>8.1428484999999991E-3</v>
      </c>
      <c r="DO114">
        <v>0.104074925</v>
      </c>
      <c r="DP114">
        <v>-5.7275224E-2</v>
      </c>
      <c r="DQ114">
        <v>3.4419779999999997E-2</v>
      </c>
      <c r="DR114">
        <v>-3.6878906000000003E-2</v>
      </c>
      <c r="DS114">
        <v>0.1683954</v>
      </c>
      <c r="DT114">
        <v>-6.5062040000000002E-2</v>
      </c>
      <c r="DU114">
        <v>0.13274516</v>
      </c>
      <c r="DV114">
        <v>2.6456008E-2</v>
      </c>
      <c r="DW114">
        <v>-0.47405027999999999</v>
      </c>
      <c r="DX114">
        <v>8.8401969999999996E-2</v>
      </c>
      <c r="DY114">
        <v>-0.16039900000000001</v>
      </c>
      <c r="DZ114">
        <v>3.5065692000000002E-2</v>
      </c>
    </row>
    <row r="115" spans="1:130" x14ac:dyDescent="0.3">
      <c r="A115">
        <f>Board!$E$11</f>
        <v>0</v>
      </c>
      <c r="C115">
        <v>-6.6034519999999999E-2</v>
      </c>
      <c r="D115">
        <v>0.13187356</v>
      </c>
      <c r="E115">
        <v>0.18490044999999999</v>
      </c>
      <c r="F115">
        <v>-0.44831482</v>
      </c>
      <c r="G115">
        <v>0.18785402000000001</v>
      </c>
      <c r="H115">
        <v>5.8916174000000002E-2</v>
      </c>
      <c r="I115">
        <v>-6.7368984000000007E-2</v>
      </c>
      <c r="J115">
        <v>0.16732046</v>
      </c>
      <c r="K115">
        <v>-5.4766543000000001E-2</v>
      </c>
      <c r="L115">
        <v>0.37255132000000002</v>
      </c>
      <c r="M115">
        <v>-3.9925919999999997E-2</v>
      </c>
      <c r="N115">
        <v>4.8257064000000002E-2</v>
      </c>
      <c r="O115">
        <v>-5.7276238E-2</v>
      </c>
      <c r="P115">
        <v>-9.191966E-2</v>
      </c>
      <c r="Q115">
        <v>7.6423115999999999E-2</v>
      </c>
      <c r="R115">
        <v>0.10538844999999999</v>
      </c>
      <c r="S115">
        <v>-2.4520297E-2</v>
      </c>
      <c r="T115">
        <v>9.6298549999999997E-2</v>
      </c>
      <c r="U115">
        <v>4.0608416000000001E-3</v>
      </c>
      <c r="V115">
        <v>-0.14958640000000001</v>
      </c>
      <c r="W115">
        <v>0.13151831999999999</v>
      </c>
      <c r="X115">
        <v>-0.20434408000000001</v>
      </c>
      <c r="Y115">
        <v>0.102428846</v>
      </c>
      <c r="Z115">
        <v>0.17265243999999999</v>
      </c>
      <c r="AA115">
        <v>4.5382939999999997E-2</v>
      </c>
      <c r="AB115">
        <v>1.9803109999999999E-2</v>
      </c>
      <c r="AC115">
        <v>3.3781486999999999E-2</v>
      </c>
      <c r="AD115">
        <v>0.18476944000000001</v>
      </c>
      <c r="AE115">
        <v>0.14803399</v>
      </c>
      <c r="AF115">
        <v>-0.39942080000000002</v>
      </c>
      <c r="AG115">
        <v>-0.10718192999999999</v>
      </c>
      <c r="AH115">
        <v>0.20033645999999999</v>
      </c>
      <c r="AI115">
        <v>0.10885029</v>
      </c>
      <c r="AJ115">
        <v>0.12633559999999999</v>
      </c>
      <c r="AK115">
        <v>4.5914120000000003E-2</v>
      </c>
      <c r="AL115">
        <v>-0.12786159999999999</v>
      </c>
      <c r="AM115">
        <v>-0.21212138</v>
      </c>
      <c r="AN115">
        <v>6.3748516000000005E-2</v>
      </c>
      <c r="AO115">
        <v>-0.32933797999999997</v>
      </c>
      <c r="AP115">
        <v>7.9213220000000001E-2</v>
      </c>
      <c r="AQ115">
        <v>-5.1733420000000002E-2</v>
      </c>
      <c r="AR115">
        <v>8.8236004000000007E-2</v>
      </c>
      <c r="AS115">
        <v>-4.3011940000000004E-3</v>
      </c>
      <c r="AT115">
        <v>-2.4937440000000002E-2</v>
      </c>
      <c r="AU115">
        <v>-0.12593143000000001</v>
      </c>
      <c r="AV115">
        <v>-7.7223150000000004E-2</v>
      </c>
      <c r="AW115">
        <v>-0.22596715000000001</v>
      </c>
      <c r="AX115">
        <v>-0.17993361999999999</v>
      </c>
      <c r="AY115">
        <v>0.217087</v>
      </c>
      <c r="AZ115">
        <v>-3.217325E-2</v>
      </c>
      <c r="BA115">
        <v>-8.3956699999999995E-2</v>
      </c>
      <c r="BB115">
        <v>5.3109865999999999E-2</v>
      </c>
      <c r="BC115">
        <v>5.6333455999999997E-2</v>
      </c>
      <c r="BD115">
        <v>5.2396730000000002E-2</v>
      </c>
      <c r="BE115">
        <v>3.1693253999999997E-2</v>
      </c>
      <c r="BF115">
        <v>-5.0592539999999998E-2</v>
      </c>
      <c r="BG115">
        <v>-0.25575399999999998</v>
      </c>
      <c r="BH115">
        <v>0.10283916999999999</v>
      </c>
      <c r="BI115">
        <v>5.4340325000000002E-2</v>
      </c>
      <c r="BJ115">
        <v>-0.17227487</v>
      </c>
      <c r="BK115">
        <v>4.6443419999999999E-2</v>
      </c>
      <c r="BL115">
        <v>-0.27508526999999999</v>
      </c>
      <c r="BM115">
        <v>0.12010715</v>
      </c>
      <c r="BN115">
        <v>0.14575937</v>
      </c>
      <c r="BO115">
        <v>3.8504146000000003E-2</v>
      </c>
      <c r="BP115">
        <v>-2.2263208E-2</v>
      </c>
      <c r="BQ115">
        <v>0.15653278000000001</v>
      </c>
      <c r="BR115">
        <v>-0.14826569000000001</v>
      </c>
      <c r="BS115">
        <v>-1.2410991E-2</v>
      </c>
      <c r="BT115">
        <v>0.10164871</v>
      </c>
      <c r="BU115">
        <v>-0.15629470000000001</v>
      </c>
      <c r="BV115">
        <v>-0.31372870000000003</v>
      </c>
      <c r="BW115">
        <v>-0.15138134</v>
      </c>
      <c r="BX115">
        <v>-0.19727504000000001</v>
      </c>
      <c r="BY115">
        <v>0.16176519</v>
      </c>
      <c r="BZ115">
        <v>0.1630635</v>
      </c>
      <c r="CA115">
        <v>-3.2296322000000002E-2</v>
      </c>
      <c r="CB115">
        <v>1.5860094999999999E-3</v>
      </c>
      <c r="CC115">
        <v>-0.19307162</v>
      </c>
      <c r="CD115">
        <v>0.13783506000000001</v>
      </c>
      <c r="CE115">
        <v>7.0714600000000002E-2</v>
      </c>
      <c r="CF115">
        <v>-0.23503283999999999</v>
      </c>
      <c r="CG115">
        <v>0.17576769</v>
      </c>
      <c r="CH115">
        <v>-0.39227736000000002</v>
      </c>
      <c r="CI115">
        <v>0.13692521999999999</v>
      </c>
      <c r="CJ115">
        <v>0.18766335000000001</v>
      </c>
      <c r="CK115">
        <v>-0.24325874</v>
      </c>
      <c r="CL115">
        <v>8.6207173999999998E-2</v>
      </c>
      <c r="CM115">
        <v>-0.123861626</v>
      </c>
      <c r="CN115">
        <v>0.20462815000000001</v>
      </c>
      <c r="CO115">
        <v>-3.1948092999999997E-2</v>
      </c>
      <c r="CP115">
        <v>-9.079458E-2</v>
      </c>
      <c r="CQ115">
        <v>-9.3402020000000002E-2</v>
      </c>
      <c r="CR115">
        <v>-0.26916390000000001</v>
      </c>
      <c r="CS115">
        <v>-4.4424566000000002E-3</v>
      </c>
      <c r="CT115">
        <v>3.4437575000000002E-3</v>
      </c>
      <c r="CU115">
        <v>-4.0311680000000003E-2</v>
      </c>
      <c r="CV115">
        <v>2.9870527000000001E-2</v>
      </c>
      <c r="CW115">
        <v>5.3833190000000003E-2</v>
      </c>
      <c r="CX115">
        <v>0.16388725000000001</v>
      </c>
      <c r="CY115">
        <v>-0.79256015999999996</v>
      </c>
      <c r="CZ115">
        <v>0.11547096</v>
      </c>
      <c r="DA115">
        <v>-0.12059928</v>
      </c>
      <c r="DB115">
        <v>-0.1768035</v>
      </c>
      <c r="DC115">
        <v>-0.17304812</v>
      </c>
      <c r="DD115">
        <v>-0.10927887999999999</v>
      </c>
      <c r="DE115">
        <v>0.24383949999999999</v>
      </c>
      <c r="DF115">
        <v>-6.039891E-2</v>
      </c>
      <c r="DG115">
        <v>-4.4331163999999999E-4</v>
      </c>
      <c r="DH115">
        <v>-0.12280249</v>
      </c>
      <c r="DI115">
        <v>-0.17967327999999999</v>
      </c>
      <c r="DJ115">
        <v>-0.16797641999999999</v>
      </c>
      <c r="DK115">
        <v>0.12712941999999999</v>
      </c>
      <c r="DL115">
        <v>0.10021336</v>
      </c>
      <c r="DM115">
        <v>6.3525719999999994E-2</v>
      </c>
      <c r="DN115">
        <v>6.8642534000000005E-2</v>
      </c>
      <c r="DO115">
        <v>-5.0279445999999998E-2</v>
      </c>
      <c r="DP115">
        <v>-8.2208134000000002E-2</v>
      </c>
      <c r="DQ115">
        <v>5.5705591999999998E-2</v>
      </c>
      <c r="DR115">
        <v>-0.24690959000000001</v>
      </c>
      <c r="DS115">
        <v>6.4516983999999999E-2</v>
      </c>
      <c r="DT115">
        <v>-6.8201700000000004E-2</v>
      </c>
      <c r="DU115">
        <v>0.12454915</v>
      </c>
      <c r="DV115">
        <v>-1.7428731999999999E-2</v>
      </c>
      <c r="DW115">
        <v>-0.27954158000000001</v>
      </c>
      <c r="DX115">
        <v>0.1456461</v>
      </c>
      <c r="DY115">
        <v>2.6857452E-2</v>
      </c>
      <c r="DZ115">
        <v>-1.4907165999999999E-2</v>
      </c>
    </row>
    <row r="116" spans="1:130" x14ac:dyDescent="0.3">
      <c r="A116">
        <f>Board!$F$11</f>
        <v>0</v>
      </c>
      <c r="C116">
        <v>0.17576513999999999</v>
      </c>
      <c r="D116">
        <v>5.6790844E-2</v>
      </c>
      <c r="E116">
        <v>-6.5860429999999998E-2</v>
      </c>
      <c r="F116">
        <v>-0.42240998000000002</v>
      </c>
      <c r="G116">
        <v>6.6524719999999996E-2</v>
      </c>
      <c r="H116">
        <v>2.2641366E-2</v>
      </c>
      <c r="I116">
        <v>-9.8824309999999999E-2</v>
      </c>
      <c r="J116">
        <v>0.11059341</v>
      </c>
      <c r="K116">
        <v>3.4060325000000002E-2</v>
      </c>
      <c r="L116">
        <v>0.13511134999999999</v>
      </c>
      <c r="M116">
        <v>-3.2267259999999999E-2</v>
      </c>
      <c r="N116">
        <v>0.21545708</v>
      </c>
      <c r="O116">
        <v>5.9373890000000004E-3</v>
      </c>
      <c r="P116">
        <v>-0.14721997000000001</v>
      </c>
      <c r="Q116">
        <v>3.291533E-2</v>
      </c>
      <c r="R116">
        <v>0.16102359999999999</v>
      </c>
      <c r="S116">
        <v>-0.25276419999999999</v>
      </c>
      <c r="T116">
        <v>0.12977274</v>
      </c>
      <c r="U116">
        <v>0.13433354</v>
      </c>
      <c r="V116">
        <v>-5.8177896E-2</v>
      </c>
      <c r="W116">
        <v>5.0586676000000004E-3</v>
      </c>
      <c r="X116">
        <v>9.1441359999999999E-2</v>
      </c>
      <c r="Y116">
        <v>0.19499409000000001</v>
      </c>
      <c r="Z116">
        <v>-2.8736920999999999E-2</v>
      </c>
      <c r="AA116">
        <v>6.7967540000000007E-2</v>
      </c>
      <c r="AB116">
        <v>0.11667911</v>
      </c>
      <c r="AC116">
        <v>0.15231955</v>
      </c>
      <c r="AD116">
        <v>5.8976094999999999E-2</v>
      </c>
      <c r="AE116">
        <v>0.12012653</v>
      </c>
      <c r="AF116">
        <v>-0.10647426</v>
      </c>
      <c r="AG116">
        <v>-0.13318770999999999</v>
      </c>
      <c r="AH116">
        <v>1.4695948999999999E-3</v>
      </c>
      <c r="AI116">
        <v>-0.16088986</v>
      </c>
      <c r="AJ116">
        <v>9.5780656000000006E-2</v>
      </c>
      <c r="AK116">
        <v>-2.9231857999999999E-2</v>
      </c>
      <c r="AL116">
        <v>8.2657779999999997E-3</v>
      </c>
      <c r="AM116">
        <v>-9.9117570000000002E-3</v>
      </c>
      <c r="AN116">
        <v>-8.063903E-2</v>
      </c>
      <c r="AO116">
        <v>-0.15481210000000001</v>
      </c>
      <c r="AP116">
        <v>0.18673795000000001</v>
      </c>
      <c r="AQ116">
        <v>6.1251745000000003E-3</v>
      </c>
      <c r="AR116">
        <v>0.17273325</v>
      </c>
      <c r="AS116">
        <v>6.9748530000000003E-2</v>
      </c>
      <c r="AT116">
        <v>1.6987670999999999E-3</v>
      </c>
      <c r="AU116">
        <v>-0.17995006999999999</v>
      </c>
      <c r="AV116">
        <v>0.10562038999999999</v>
      </c>
      <c r="AW116">
        <v>-9.9236160000000004E-2</v>
      </c>
      <c r="AX116">
        <v>0.13989889999999999</v>
      </c>
      <c r="AY116">
        <v>1.076883E-2</v>
      </c>
      <c r="AZ116">
        <v>0.17850432999999999</v>
      </c>
      <c r="BA116">
        <v>1.9121678999999999E-2</v>
      </c>
      <c r="BB116">
        <v>3.5812758E-2</v>
      </c>
      <c r="BC116">
        <v>1.02936225E-2</v>
      </c>
      <c r="BD116">
        <v>1.4241353E-2</v>
      </c>
      <c r="BE116">
        <v>2.4492778E-2</v>
      </c>
      <c r="BF116">
        <v>4.2456239999999999E-2</v>
      </c>
      <c r="BG116">
        <v>7.8358510000000006E-2</v>
      </c>
      <c r="BH116">
        <v>8.1550860000000003E-2</v>
      </c>
      <c r="BI116">
        <v>3.9098945000000003E-2</v>
      </c>
      <c r="BJ116">
        <v>9.8167114E-2</v>
      </c>
      <c r="BK116">
        <v>-6.3728616000000002E-2</v>
      </c>
      <c r="BL116">
        <v>-8.8575415000000005E-2</v>
      </c>
      <c r="BM116">
        <v>0.13505517</v>
      </c>
      <c r="BN116">
        <v>-0.1156538</v>
      </c>
      <c r="BO116">
        <v>7.5619325000000001E-2</v>
      </c>
      <c r="BP116">
        <v>7.1304969999999995E-2</v>
      </c>
      <c r="BQ116">
        <v>0.11829111</v>
      </c>
      <c r="BR116">
        <v>-3.8416895999999999E-2</v>
      </c>
      <c r="BS116">
        <v>0.19321959999999999</v>
      </c>
      <c r="BT116">
        <v>0.33608595000000002</v>
      </c>
      <c r="BU116">
        <v>-1.5306456E-2</v>
      </c>
      <c r="BV116">
        <v>-0.26165446999999997</v>
      </c>
      <c r="BW116">
        <v>-0.21656026</v>
      </c>
      <c r="BX116">
        <v>9.2806159999999999E-2</v>
      </c>
      <c r="BY116">
        <v>-5.0649119999999999E-2</v>
      </c>
      <c r="BZ116">
        <v>0.25765670000000002</v>
      </c>
      <c r="CA116">
        <v>-1.0782539000000001E-2</v>
      </c>
      <c r="CB116">
        <v>7.2621770000000002E-2</v>
      </c>
      <c r="CC116">
        <v>-0.18396889</v>
      </c>
      <c r="CD116">
        <v>0.15390596000000001</v>
      </c>
      <c r="CE116">
        <v>7.3828482999999997E-3</v>
      </c>
      <c r="CF116">
        <v>-0.26147920000000002</v>
      </c>
      <c r="CG116">
        <v>0.11637216</v>
      </c>
      <c r="CH116">
        <v>7.2575050000000002E-2</v>
      </c>
      <c r="CI116">
        <v>1.683772E-2</v>
      </c>
      <c r="CJ116">
        <v>0.14602203999999999</v>
      </c>
      <c r="CK116">
        <v>-0.21436541000000001</v>
      </c>
      <c r="CL116">
        <v>-7.6779890000000003E-2</v>
      </c>
      <c r="CM116">
        <v>-5.7712020000000003E-2</v>
      </c>
      <c r="CN116">
        <v>0.1579266</v>
      </c>
      <c r="CO116">
        <v>1.4122411E-2</v>
      </c>
      <c r="CP116">
        <v>-0.29176864000000002</v>
      </c>
      <c r="CQ116">
        <v>-4.0266192999999999E-2</v>
      </c>
      <c r="CR116">
        <v>-0.12804212000000001</v>
      </c>
      <c r="CS116">
        <v>-7.9102679999999995E-2</v>
      </c>
      <c r="CT116">
        <v>6.8664559999999999E-2</v>
      </c>
      <c r="CU116">
        <v>-0.18734354</v>
      </c>
      <c r="CV116">
        <v>8.1093765999999998E-2</v>
      </c>
      <c r="CW116">
        <v>9.4694799999999996E-2</v>
      </c>
      <c r="CX116">
        <v>-9.2344620000000002E-2</v>
      </c>
      <c r="CY116">
        <v>-0.63547010000000004</v>
      </c>
      <c r="CZ116">
        <v>0.16026399</v>
      </c>
      <c r="DA116">
        <v>-0.15518742999999999</v>
      </c>
      <c r="DB116">
        <v>-3.5088017999999999E-2</v>
      </c>
      <c r="DC116">
        <v>-0.27492514000000001</v>
      </c>
      <c r="DD116">
        <v>-5.4840233000000002E-2</v>
      </c>
      <c r="DE116">
        <v>0.18613829000000001</v>
      </c>
      <c r="DF116">
        <v>-0.16055063999999999</v>
      </c>
      <c r="DG116">
        <v>7.2989090000000006E-2</v>
      </c>
      <c r="DH116">
        <v>2.9619077000000001E-2</v>
      </c>
      <c r="DI116">
        <v>1.4097892000000001E-2</v>
      </c>
      <c r="DJ116">
        <v>0.13576762000000001</v>
      </c>
      <c r="DK116">
        <v>-0.10026618</v>
      </c>
      <c r="DL116">
        <v>0.10754935</v>
      </c>
      <c r="DM116">
        <v>9.6192879999999995E-2</v>
      </c>
      <c r="DN116">
        <v>-6.8916014999999997E-2</v>
      </c>
      <c r="DO116">
        <v>6.4515136000000001E-2</v>
      </c>
      <c r="DP116">
        <v>0.1360797</v>
      </c>
      <c r="DQ116">
        <v>-0.10112212600000001</v>
      </c>
      <c r="DR116">
        <v>-0.37461551999999998</v>
      </c>
      <c r="DS116">
        <v>0.12690355</v>
      </c>
      <c r="DT116">
        <v>-0.24537057000000001</v>
      </c>
      <c r="DU116">
        <v>0.14476565999999999</v>
      </c>
      <c r="DV116">
        <v>-1.3026205000000001E-2</v>
      </c>
      <c r="DW116">
        <v>-0.16961873999999999</v>
      </c>
      <c r="DX116">
        <v>9.4510145000000004E-2</v>
      </c>
      <c r="DY116">
        <v>0.18035191</v>
      </c>
      <c r="DZ116">
        <v>7.4340610000000001E-2</v>
      </c>
    </row>
    <row r="117" spans="1:130" x14ac:dyDescent="0.3">
      <c r="A117">
        <f>Board!$G$11</f>
        <v>0</v>
      </c>
      <c r="C117">
        <v>7.4823479999999998E-2</v>
      </c>
      <c r="D117">
        <v>-7.9678910000000006E-2</v>
      </c>
      <c r="E117">
        <v>0.10085276</v>
      </c>
      <c r="F117">
        <v>0.43677690000000002</v>
      </c>
      <c r="G117">
        <v>0.16431188999999999</v>
      </c>
      <c r="H117">
        <v>-2.2699164000000001E-2</v>
      </c>
      <c r="I117">
        <v>-0.17595272000000001</v>
      </c>
      <c r="J117">
        <v>3.1158557E-2</v>
      </c>
      <c r="K117">
        <v>0.21450095999999999</v>
      </c>
      <c r="L117">
        <v>2.7547669E-2</v>
      </c>
      <c r="M117">
        <v>5.8004156000000001E-2</v>
      </c>
      <c r="N117">
        <v>0.15213466</v>
      </c>
      <c r="O117">
        <v>1.3670167E-2</v>
      </c>
      <c r="P117">
        <v>1.0276888E-2</v>
      </c>
      <c r="Q117">
        <v>-1.0786393E-2</v>
      </c>
      <c r="R117">
        <v>0.113392375</v>
      </c>
      <c r="S117">
        <v>-0.22544889000000001</v>
      </c>
      <c r="T117">
        <v>-6.5654240000000003E-3</v>
      </c>
      <c r="U117">
        <v>0.15086864</v>
      </c>
      <c r="V117">
        <v>-0.21637094000000001</v>
      </c>
      <c r="W117">
        <v>0.19627977999999999</v>
      </c>
      <c r="X117">
        <v>4.1106466000000001E-2</v>
      </c>
      <c r="Y117">
        <v>4.0119380000000003E-2</v>
      </c>
      <c r="Z117">
        <v>-9.6008840000000005E-3</v>
      </c>
      <c r="AA117">
        <v>0.15859545999999999</v>
      </c>
      <c r="AB117">
        <v>0.118418</v>
      </c>
      <c r="AC117">
        <v>0.20484373</v>
      </c>
      <c r="AD117">
        <v>1.932586E-2</v>
      </c>
      <c r="AE117">
        <v>0.12640066</v>
      </c>
      <c r="AF117">
        <v>0.23161480000000001</v>
      </c>
      <c r="AG117">
        <v>8.6377679999999998E-2</v>
      </c>
      <c r="AH117">
        <v>3.8913353999999997E-2</v>
      </c>
      <c r="AI117">
        <v>-0.15832913000000001</v>
      </c>
      <c r="AJ117">
        <v>-0.20124787</v>
      </c>
      <c r="AK117">
        <v>-4.0931719999999998E-2</v>
      </c>
      <c r="AL117">
        <v>6.579835E-3</v>
      </c>
      <c r="AM117">
        <v>-0.12963427999999999</v>
      </c>
      <c r="AN117">
        <v>1.1612938999999999E-2</v>
      </c>
      <c r="AO117">
        <v>-0.16955575000000001</v>
      </c>
      <c r="AP117">
        <v>7.3793040000000004E-2</v>
      </c>
      <c r="AQ117">
        <v>4.2690605E-2</v>
      </c>
      <c r="AR117">
        <v>-0.14103651</v>
      </c>
      <c r="AS117">
        <v>8.8826509999999997E-2</v>
      </c>
      <c r="AT117">
        <v>9.0958826000000007E-2</v>
      </c>
      <c r="AU117">
        <v>-7.2233210000000006E-2</v>
      </c>
      <c r="AV117">
        <v>0.29218697999999999</v>
      </c>
      <c r="AW117">
        <v>9.2303189999999993E-2</v>
      </c>
      <c r="AX117">
        <v>0.14889654999999999</v>
      </c>
      <c r="AY117">
        <v>-0.12073099599999999</v>
      </c>
      <c r="AZ117">
        <v>7.5577130000000006E-2</v>
      </c>
      <c r="BA117">
        <v>7.7650644000000005E-2</v>
      </c>
      <c r="BB117">
        <v>2.5919444999999999E-2</v>
      </c>
      <c r="BC117">
        <v>-2.3831218E-3</v>
      </c>
      <c r="BD117">
        <v>-5.2336406000000002E-2</v>
      </c>
      <c r="BE117">
        <v>-4.9497846999999998E-2</v>
      </c>
      <c r="BF117">
        <v>5.2337879999999996E-3</v>
      </c>
      <c r="BG117">
        <v>-9.5099980000000001E-2</v>
      </c>
      <c r="BH117">
        <v>2.4750207E-2</v>
      </c>
      <c r="BI117">
        <v>3.8777243000000003E-2</v>
      </c>
      <c r="BJ117">
        <v>0.29702630000000002</v>
      </c>
      <c r="BK117">
        <v>-9.7119469999999999E-2</v>
      </c>
      <c r="BL117">
        <v>4.2507196999999998E-3</v>
      </c>
      <c r="BM117">
        <v>4.6959434000000001E-2</v>
      </c>
      <c r="BN117">
        <v>-8.5573679999999999E-2</v>
      </c>
      <c r="BO117">
        <v>0.14241535999999999</v>
      </c>
      <c r="BP117">
        <v>7.1203484999999997E-2</v>
      </c>
      <c r="BQ117">
        <v>0.15545554</v>
      </c>
      <c r="BR117">
        <v>-0.10272822</v>
      </c>
      <c r="BS117">
        <v>5.987717E-2</v>
      </c>
      <c r="BT117">
        <v>0.52759045000000004</v>
      </c>
      <c r="BU117">
        <v>0.14829914</v>
      </c>
      <c r="BV117">
        <v>-0.33571073000000001</v>
      </c>
      <c r="BW117">
        <v>1.6733129999999999E-2</v>
      </c>
      <c r="BX117">
        <v>9.5480285999999998E-2</v>
      </c>
      <c r="BY117">
        <v>9.5483340000000001E-4</v>
      </c>
      <c r="BZ117">
        <v>9.5398360000000001E-2</v>
      </c>
      <c r="CA117">
        <v>-6.9463185999999996E-2</v>
      </c>
      <c r="CB117">
        <v>-0.16705763000000001</v>
      </c>
      <c r="CC117">
        <v>-6.1092567E-2</v>
      </c>
      <c r="CD117">
        <v>8.7114330000000004E-2</v>
      </c>
      <c r="CE117">
        <v>6.6999405999999997E-2</v>
      </c>
      <c r="CF117">
        <v>-6.0270700000000003E-2</v>
      </c>
      <c r="CG117">
        <v>-0.10380594999999999</v>
      </c>
      <c r="CH117">
        <v>1.6624458000000002E-2</v>
      </c>
      <c r="CI117">
        <v>-0.16218669999999999</v>
      </c>
      <c r="CJ117">
        <v>-0.14028993000000001</v>
      </c>
      <c r="CK117">
        <v>-0.15959677</v>
      </c>
      <c r="CL117">
        <v>2.1254328999999999E-2</v>
      </c>
      <c r="CM117">
        <v>-7.7848719999999996E-2</v>
      </c>
      <c r="CN117">
        <v>9.6961119999999998E-2</v>
      </c>
      <c r="CO117">
        <v>-0.15816098000000001</v>
      </c>
      <c r="CP117">
        <v>-0.33668846000000002</v>
      </c>
      <c r="CQ117">
        <v>1.0181954E-2</v>
      </c>
      <c r="CR117">
        <v>-0.31796592000000001</v>
      </c>
      <c r="CS117">
        <v>-1.4036672E-2</v>
      </c>
      <c r="CT117">
        <v>0.12297074500000001</v>
      </c>
      <c r="CU117">
        <v>5.2287813000000002E-2</v>
      </c>
      <c r="CV117">
        <v>0.17832770000000001</v>
      </c>
      <c r="CW117">
        <v>-6.9429069999999996E-2</v>
      </c>
      <c r="CX117">
        <v>-8.8112369999999995E-2</v>
      </c>
      <c r="CY117">
        <v>-0.34782475000000002</v>
      </c>
      <c r="CZ117">
        <v>0.102382034</v>
      </c>
      <c r="DA117">
        <v>-0.16020608</v>
      </c>
      <c r="DB117">
        <v>-7.537025E-2</v>
      </c>
      <c r="DC117">
        <v>0.13457641000000001</v>
      </c>
      <c r="DD117">
        <v>-0.11455332999999999</v>
      </c>
      <c r="DE117">
        <v>0.18480903000000001</v>
      </c>
      <c r="DF117">
        <v>-1.6580105000000001E-2</v>
      </c>
      <c r="DG117">
        <v>-0.16560279999999999</v>
      </c>
      <c r="DH117">
        <v>0.1073616</v>
      </c>
      <c r="DI117">
        <v>0.18850662000000001</v>
      </c>
      <c r="DJ117">
        <v>-0.16229418000000001</v>
      </c>
      <c r="DK117">
        <v>3.0509016999999999E-2</v>
      </c>
      <c r="DL117">
        <v>0.15459734</v>
      </c>
      <c r="DM117">
        <v>-0.13137731</v>
      </c>
      <c r="DN117">
        <v>-0.15511575</v>
      </c>
      <c r="DO117">
        <v>0.21975597999999999</v>
      </c>
      <c r="DP117">
        <v>0.13351837999999999</v>
      </c>
      <c r="DQ117">
        <v>-6.8827099999999996E-4</v>
      </c>
      <c r="DR117">
        <v>-0.43641707000000002</v>
      </c>
      <c r="DS117">
        <v>0.12357313</v>
      </c>
      <c r="DT117">
        <v>0.15185307000000001</v>
      </c>
      <c r="DU117">
        <v>4.4160462999999997E-2</v>
      </c>
      <c r="DV117">
        <v>0.11975371</v>
      </c>
      <c r="DW117">
        <v>0.20169397999999999</v>
      </c>
      <c r="DX117">
        <v>0.115737535</v>
      </c>
      <c r="DY117">
        <v>0.1277643</v>
      </c>
      <c r="DZ117">
        <v>0.13393182000000001</v>
      </c>
    </row>
    <row r="118" spans="1:130" x14ac:dyDescent="0.3">
      <c r="A118">
        <f>Board!$H$11</f>
        <v>1</v>
      </c>
      <c r="C118">
        <v>4.5002437999999999E-2</v>
      </c>
      <c r="D118">
        <v>0.18401234</v>
      </c>
      <c r="E118">
        <v>3.2458987000000002E-2</v>
      </c>
      <c r="F118">
        <v>-2.6693266E-2</v>
      </c>
      <c r="G118">
        <v>0.21369468</v>
      </c>
      <c r="H118">
        <v>0.26759946000000001</v>
      </c>
      <c r="I118">
        <v>-0.15448359</v>
      </c>
      <c r="J118">
        <v>5.4816693E-2</v>
      </c>
      <c r="K118">
        <v>-0.12271536</v>
      </c>
      <c r="L118">
        <v>0.10166731</v>
      </c>
      <c r="M118">
        <v>0.13246948</v>
      </c>
      <c r="N118">
        <v>-3.9058559999999999E-2</v>
      </c>
      <c r="O118">
        <v>-9.6255960000000002E-2</v>
      </c>
      <c r="P118">
        <v>-7.1614002999999997E-3</v>
      </c>
      <c r="Q118">
        <v>-5.1882039999999997E-2</v>
      </c>
      <c r="R118">
        <v>-2.3632493000000001E-2</v>
      </c>
      <c r="S118">
        <v>-0.11609568000000001</v>
      </c>
      <c r="T118">
        <v>-5.6399640000000001E-2</v>
      </c>
      <c r="U118">
        <v>0.19823503000000001</v>
      </c>
      <c r="V118">
        <v>4.4861020000000001E-2</v>
      </c>
      <c r="W118">
        <v>-6.260201E-2</v>
      </c>
      <c r="X118">
        <v>2.0341867999999999E-2</v>
      </c>
      <c r="Y118">
        <v>-5.8852755E-2</v>
      </c>
      <c r="Z118">
        <v>-4.0722045999999998E-2</v>
      </c>
      <c r="AA118">
        <v>-7.9555890000000004E-2</v>
      </c>
      <c r="AB118">
        <v>8.5154645000000001E-2</v>
      </c>
      <c r="AC118">
        <v>8.3693959999999998E-2</v>
      </c>
      <c r="AD118">
        <v>5.5504438000000003E-2</v>
      </c>
      <c r="AE118">
        <v>-6.3503093999999996E-2</v>
      </c>
      <c r="AF118">
        <v>9.0353130000000004E-2</v>
      </c>
      <c r="AG118">
        <v>-7.8028105E-2</v>
      </c>
      <c r="AH118">
        <v>-7.1549706000000005E-2</v>
      </c>
      <c r="AI118">
        <v>1.6008746000000001E-2</v>
      </c>
      <c r="AJ118">
        <v>-4.4280149999999997E-2</v>
      </c>
      <c r="AK118">
        <v>8.1887009999999996E-2</v>
      </c>
      <c r="AL118">
        <v>-6.6773360000000004E-2</v>
      </c>
      <c r="AM118">
        <v>-1.5693388999999999E-2</v>
      </c>
      <c r="AN118">
        <v>-5.1887377999999998E-2</v>
      </c>
      <c r="AO118">
        <v>-1.8540551999999998E-2</v>
      </c>
      <c r="AP118">
        <v>0.117488906</v>
      </c>
      <c r="AQ118">
        <v>-8.3930984E-2</v>
      </c>
      <c r="AR118">
        <v>7.143774E-2</v>
      </c>
      <c r="AS118">
        <v>0.22289659000000001</v>
      </c>
      <c r="AT118">
        <v>-0.12860692000000001</v>
      </c>
      <c r="AU118">
        <v>0.33390224000000002</v>
      </c>
      <c r="AV118">
        <v>-0.80166939999999998</v>
      </c>
      <c r="AW118">
        <v>3.0224388000000001E-2</v>
      </c>
      <c r="AX118">
        <v>0.19127874</v>
      </c>
      <c r="AY118">
        <v>5.5304579999999999E-2</v>
      </c>
      <c r="AZ118">
        <v>-9.7402089999999997E-3</v>
      </c>
      <c r="BA118">
        <v>0.16223578</v>
      </c>
      <c r="BB118">
        <v>0.11024382000000001</v>
      </c>
      <c r="BC118">
        <v>0.3500316</v>
      </c>
      <c r="BD118">
        <v>-8.8254689999999997E-2</v>
      </c>
      <c r="BE118">
        <v>-6.3124519999999996E-3</v>
      </c>
      <c r="BF118">
        <v>2.198058E-2</v>
      </c>
      <c r="BG118">
        <v>5.3354282000000003E-2</v>
      </c>
      <c r="BH118">
        <v>-0.20334853</v>
      </c>
      <c r="BI118">
        <v>0.17552243000000001</v>
      </c>
      <c r="BJ118">
        <v>0.108401604</v>
      </c>
      <c r="BK118">
        <v>5.6833778000000001E-2</v>
      </c>
      <c r="BL118">
        <v>0.15028059999999999</v>
      </c>
      <c r="BM118">
        <v>6.7938709999999999E-2</v>
      </c>
      <c r="BN118">
        <v>0.111388266</v>
      </c>
      <c r="BO118">
        <v>0.13348034</v>
      </c>
      <c r="BP118">
        <v>9.5832180000000003E-2</v>
      </c>
      <c r="BQ118">
        <v>5.8480956000000001E-2</v>
      </c>
      <c r="BR118">
        <v>8.7742840000000002E-3</v>
      </c>
      <c r="BS118">
        <v>-9.9746199999999993E-2</v>
      </c>
      <c r="BT118">
        <v>0.35478957999999999</v>
      </c>
      <c r="BU118">
        <v>-5.9746828000000002E-2</v>
      </c>
      <c r="BV118">
        <v>0.29142064000000001</v>
      </c>
      <c r="BW118">
        <v>-5.0304416999999997E-2</v>
      </c>
      <c r="BX118">
        <v>0.16122948000000001</v>
      </c>
      <c r="BY118">
        <v>-4.8262037000000001E-2</v>
      </c>
      <c r="BZ118">
        <v>6.6149050000000001E-2</v>
      </c>
      <c r="CA118">
        <v>2.8451212E-2</v>
      </c>
      <c r="CB118">
        <v>-7.3981409999999997E-2</v>
      </c>
      <c r="CC118">
        <v>-0.21538051999999999</v>
      </c>
      <c r="CD118">
        <v>1.5371383000000001E-2</v>
      </c>
      <c r="CE118">
        <v>6.1573476000000002E-2</v>
      </c>
      <c r="CF118">
        <v>-0.18425062</v>
      </c>
      <c r="CG118">
        <v>-5.6764349999999998E-2</v>
      </c>
      <c r="CH118">
        <v>4.7823037999999998E-2</v>
      </c>
      <c r="CI118">
        <v>0.22744977</v>
      </c>
      <c r="CJ118">
        <v>4.1203823000000001E-2</v>
      </c>
      <c r="CK118">
        <v>-0.14462042999999999</v>
      </c>
      <c r="CL118">
        <v>0.26371433999999999</v>
      </c>
      <c r="CM118">
        <v>-0.16989835</v>
      </c>
      <c r="CN118">
        <v>8.4346420000000005E-2</v>
      </c>
      <c r="CO118">
        <v>-0.17040010999999999</v>
      </c>
      <c r="CP118">
        <v>0.33594453000000002</v>
      </c>
      <c r="CQ118">
        <v>-0.16073033</v>
      </c>
      <c r="CR118">
        <v>-5.4219373000000001E-2</v>
      </c>
      <c r="CS118">
        <v>1.0957009E-2</v>
      </c>
      <c r="CT118">
        <v>1.8613186E-2</v>
      </c>
      <c r="CU118">
        <v>7.6305590000000006E-2</v>
      </c>
      <c r="CV118">
        <v>-9.2618500000000006E-2</v>
      </c>
      <c r="CW118">
        <v>-0.15268472</v>
      </c>
      <c r="CX118">
        <v>-7.5298519999999994E-2</v>
      </c>
      <c r="CY118">
        <v>1.4621728000000001E-2</v>
      </c>
      <c r="CZ118">
        <v>-0.12215463</v>
      </c>
      <c r="DA118">
        <v>5.3144667E-2</v>
      </c>
      <c r="DB118">
        <v>-9.8979559999999994E-3</v>
      </c>
      <c r="DC118">
        <v>0.18918504</v>
      </c>
      <c r="DD118">
        <v>8.8230000000000003E-2</v>
      </c>
      <c r="DE118">
        <v>0.105692245</v>
      </c>
      <c r="DF118">
        <v>8.7266765999999996E-2</v>
      </c>
      <c r="DG118">
        <v>-0.307506</v>
      </c>
      <c r="DH118">
        <v>0.110504694</v>
      </c>
      <c r="DI118">
        <v>0.17014809</v>
      </c>
      <c r="DJ118">
        <v>-7.952207E-2</v>
      </c>
      <c r="DK118">
        <v>-5.2139048E-2</v>
      </c>
      <c r="DL118">
        <v>0.102644876</v>
      </c>
      <c r="DM118">
        <v>-9.1457739999999996E-2</v>
      </c>
      <c r="DN118">
        <v>9.1111419999999992E-3</v>
      </c>
      <c r="DO118">
        <v>3.4957025000000003E-2</v>
      </c>
      <c r="DP118">
        <v>-4.0567733000000002E-2</v>
      </c>
      <c r="DQ118">
        <v>0.12501691000000001</v>
      </c>
      <c r="DR118">
        <v>-6.826509E-2</v>
      </c>
      <c r="DS118">
        <v>1.3321638E-2</v>
      </c>
      <c r="DT118">
        <v>-3.5307924999999997E-2</v>
      </c>
      <c r="DU118">
        <v>9.9066169999999995E-2</v>
      </c>
      <c r="DV118">
        <v>0.17693162000000001</v>
      </c>
      <c r="DW118">
        <v>-8.8316649999999997E-2</v>
      </c>
      <c r="DX118">
        <v>7.7387020000000001E-2</v>
      </c>
      <c r="DY118">
        <v>4.6466548000000003E-2</v>
      </c>
      <c r="DZ118">
        <v>-4.7205132E-3</v>
      </c>
    </row>
    <row r="119" spans="1:130" x14ac:dyDescent="0.3">
      <c r="A119">
        <f>Board!$I$11</f>
        <v>0</v>
      </c>
      <c r="C119">
        <v>7.929543E-2</v>
      </c>
      <c r="D119">
        <v>2.9390814000000001E-2</v>
      </c>
      <c r="E119">
        <v>0.11820253</v>
      </c>
      <c r="F119">
        <v>0.29291080000000003</v>
      </c>
      <c r="G119">
        <v>-4.3476354000000002E-2</v>
      </c>
      <c r="H119">
        <v>8.3159720000000006E-2</v>
      </c>
      <c r="I119">
        <v>8.9040599999999998E-2</v>
      </c>
      <c r="J119">
        <v>0.27938089999999999</v>
      </c>
      <c r="K119">
        <v>-0.13743230000000001</v>
      </c>
      <c r="L119">
        <v>0.21611465999999999</v>
      </c>
      <c r="M119">
        <v>8.6070694000000003E-2</v>
      </c>
      <c r="N119">
        <v>-0.19841445999999999</v>
      </c>
      <c r="O119">
        <v>-3.4501959999999998E-2</v>
      </c>
      <c r="P119">
        <v>2.4154976000000002E-2</v>
      </c>
      <c r="Q119">
        <v>-0.16995065000000001</v>
      </c>
      <c r="R119">
        <v>-0.16267724</v>
      </c>
      <c r="S119">
        <v>1.6532324000000001E-2</v>
      </c>
      <c r="T119">
        <v>0.11941545000000001</v>
      </c>
      <c r="U119">
        <v>7.0305060000000003E-2</v>
      </c>
      <c r="V119">
        <v>0.2047389</v>
      </c>
      <c r="W119">
        <v>6.4305685000000001E-2</v>
      </c>
      <c r="X119">
        <v>-1.7840060000000001E-2</v>
      </c>
      <c r="Y119">
        <v>0.28519523000000002</v>
      </c>
      <c r="Z119">
        <v>2.6478729999999999E-2</v>
      </c>
      <c r="AA119">
        <v>-4.8902059999999997E-2</v>
      </c>
      <c r="AB119">
        <v>0.22209499999999999</v>
      </c>
      <c r="AC119">
        <v>-8.3016589999999994E-3</v>
      </c>
      <c r="AD119">
        <v>1.7038953999999999E-2</v>
      </c>
      <c r="AE119">
        <v>-0.21649383999999999</v>
      </c>
      <c r="AF119">
        <v>-0.16018373</v>
      </c>
      <c r="AG119">
        <v>-0.15622744999999999</v>
      </c>
      <c r="AH119">
        <v>0.12893047999999999</v>
      </c>
      <c r="AI119">
        <v>-0.11127026399999999</v>
      </c>
      <c r="AJ119">
        <v>8.3246483999999996E-2</v>
      </c>
      <c r="AK119">
        <v>-7.4065969999999995E-2</v>
      </c>
      <c r="AL119">
        <v>-0.26388186000000002</v>
      </c>
      <c r="AM119">
        <v>0.29031702999999998</v>
      </c>
      <c r="AN119">
        <v>0.11651081000000001</v>
      </c>
      <c r="AO119">
        <v>-0.16162689999999999</v>
      </c>
      <c r="AP119">
        <v>-1.3089864499999999E-2</v>
      </c>
      <c r="AQ119">
        <v>-0.10834009</v>
      </c>
      <c r="AR119">
        <v>-0.15061139000000001</v>
      </c>
      <c r="AS119">
        <v>0.10444666399999999</v>
      </c>
      <c r="AT119">
        <v>-0.24686301999999999</v>
      </c>
      <c r="AU119">
        <v>0.43597034000000001</v>
      </c>
      <c r="AV119">
        <v>-0.61965669999999995</v>
      </c>
      <c r="AW119">
        <v>-0.26694595999999998</v>
      </c>
      <c r="AX119">
        <v>0.28804766999999998</v>
      </c>
      <c r="AY119">
        <v>0.15561654</v>
      </c>
      <c r="AZ119">
        <v>6.484732E-2</v>
      </c>
      <c r="BA119">
        <v>8.8217199999999996E-2</v>
      </c>
      <c r="BB119">
        <v>-5.3744027000000002E-3</v>
      </c>
      <c r="BC119">
        <v>-0.12858020000000001</v>
      </c>
      <c r="BD119">
        <v>-3.4745295000000002E-2</v>
      </c>
      <c r="BE119">
        <v>8.4593669999999996E-2</v>
      </c>
      <c r="BF119">
        <v>0.14509578000000001</v>
      </c>
      <c r="BG119">
        <v>-5.7365812000000002E-2</v>
      </c>
      <c r="BH119">
        <v>0.11438884000000001</v>
      </c>
      <c r="BI119">
        <v>7.6700254999999995E-2</v>
      </c>
      <c r="BJ119">
        <v>-4.3788622999999999E-2</v>
      </c>
      <c r="BK119">
        <v>-4.9573337000000002E-3</v>
      </c>
      <c r="BL119">
        <v>-3.6476069999999999E-2</v>
      </c>
      <c r="BM119">
        <v>0.12962873</v>
      </c>
      <c r="BN119">
        <v>0.12583279999999999</v>
      </c>
      <c r="BO119">
        <v>-0.10263714</v>
      </c>
      <c r="BP119">
        <v>-5.9702430000000001E-2</v>
      </c>
      <c r="BQ119">
        <v>0.17731732</v>
      </c>
      <c r="BR119">
        <v>4.6172552E-4</v>
      </c>
      <c r="BS119">
        <v>0.13552723999999999</v>
      </c>
      <c r="BT119">
        <v>0.19974606</v>
      </c>
      <c r="BU119">
        <v>0.111186884</v>
      </c>
      <c r="BV119">
        <v>0.23169519999999999</v>
      </c>
      <c r="BW119">
        <v>-0.13507445000000001</v>
      </c>
      <c r="BX119">
        <v>-9.1150365999999997E-2</v>
      </c>
      <c r="BY119">
        <v>-9.0464489999999995E-2</v>
      </c>
      <c r="BZ119">
        <v>0.20785124999999999</v>
      </c>
      <c r="CA119">
        <v>-0.11638904999999999</v>
      </c>
      <c r="CB119">
        <v>-0.14495994000000001</v>
      </c>
      <c r="CC119">
        <v>-5.9922534999999999E-2</v>
      </c>
      <c r="CD119">
        <v>-6.3804799999999995E-2</v>
      </c>
      <c r="CE119">
        <v>7.3097885000000001E-2</v>
      </c>
      <c r="CF119">
        <v>-0.23579104000000001</v>
      </c>
      <c r="CG119">
        <v>9.2482300000000003E-2</v>
      </c>
      <c r="CH119">
        <v>9.6348020000000006E-2</v>
      </c>
      <c r="CI119">
        <v>0.18914205000000001</v>
      </c>
      <c r="CJ119">
        <v>0.23548954999999999</v>
      </c>
      <c r="CK119">
        <v>5.5356820000000001E-2</v>
      </c>
      <c r="CL119">
        <v>3.1126132000000001E-2</v>
      </c>
      <c r="CM119">
        <v>-0.122428946</v>
      </c>
      <c r="CN119">
        <v>0.17885517000000001</v>
      </c>
      <c r="CO119">
        <v>-4.0097046999999997E-2</v>
      </c>
      <c r="CP119">
        <v>0.19749396999999999</v>
      </c>
      <c r="CQ119">
        <v>-0.17953268</v>
      </c>
      <c r="CR119">
        <v>1.0310629E-2</v>
      </c>
      <c r="CS119">
        <v>-6.6172599999999998E-2</v>
      </c>
      <c r="CT119">
        <v>-5.6436352000000002E-2</v>
      </c>
      <c r="CU119">
        <v>3.3571820000000002E-2</v>
      </c>
      <c r="CV119">
        <v>5.5177150000000001E-2</v>
      </c>
      <c r="CW119">
        <v>-6.2779559999999998E-2</v>
      </c>
      <c r="CX119">
        <v>-1.1351994000000001E-2</v>
      </c>
      <c r="CY119">
        <v>5.0489895E-2</v>
      </c>
      <c r="CZ119">
        <v>-0.52753066999999998</v>
      </c>
      <c r="DA119">
        <v>-6.6636865999999996E-3</v>
      </c>
      <c r="DB119">
        <v>6.8498557E-3</v>
      </c>
      <c r="DC119">
        <v>4.2457305000000001E-2</v>
      </c>
      <c r="DD119">
        <v>1.0163874999999999E-2</v>
      </c>
      <c r="DE119">
        <v>8.2399260000000002E-2</v>
      </c>
      <c r="DF119">
        <v>-3.9432330000000002E-2</v>
      </c>
      <c r="DG119">
        <v>-0.10401576</v>
      </c>
      <c r="DH119">
        <v>-1.6555558E-3</v>
      </c>
      <c r="DI119">
        <v>-1.8237835000000001E-2</v>
      </c>
      <c r="DJ119">
        <v>1.7858589000000001E-2</v>
      </c>
      <c r="DK119">
        <v>-5.0129402000000003E-2</v>
      </c>
      <c r="DL119">
        <v>-5.1743935999999997E-2</v>
      </c>
      <c r="DM119">
        <v>-4.9247737999999999E-2</v>
      </c>
      <c r="DN119">
        <v>0.10446451599999999</v>
      </c>
      <c r="DO119">
        <v>4.8402889999999997E-2</v>
      </c>
      <c r="DP119">
        <v>-6.0805466000000002E-2</v>
      </c>
      <c r="DQ119">
        <v>-0.33423375999999999</v>
      </c>
      <c r="DR119">
        <v>9.7155400000000003E-2</v>
      </c>
      <c r="DS119">
        <v>8.8700100000000004E-2</v>
      </c>
      <c r="DT119">
        <v>8.4150775999999997E-2</v>
      </c>
      <c r="DU119">
        <v>0.14865239</v>
      </c>
      <c r="DV119">
        <v>-0.20923438999999999</v>
      </c>
      <c r="DW119">
        <v>-1.338284E-2</v>
      </c>
      <c r="DX119">
        <v>-0.166098</v>
      </c>
      <c r="DY119">
        <v>0.11477592</v>
      </c>
      <c r="DZ119">
        <v>2.1296551E-2</v>
      </c>
    </row>
    <row r="120" spans="1:130" x14ac:dyDescent="0.3">
      <c r="A120">
        <f>Board!$J$11</f>
        <v>0</v>
      </c>
      <c r="C120">
        <v>0.13029028000000001</v>
      </c>
      <c r="D120">
        <v>0.34372123999999998</v>
      </c>
      <c r="E120">
        <v>0.12971211999999999</v>
      </c>
      <c r="F120">
        <v>5.7564669999999998E-2</v>
      </c>
      <c r="G120">
        <v>5.2171080000000002E-2</v>
      </c>
      <c r="H120">
        <v>3.4277327000000003E-2</v>
      </c>
      <c r="I120">
        <v>2.7960908E-2</v>
      </c>
      <c r="J120">
        <v>0.34843787999999998</v>
      </c>
      <c r="K120">
        <v>-9.6415719999999993E-3</v>
      </c>
      <c r="L120">
        <v>-3.806814E-2</v>
      </c>
      <c r="M120">
        <v>3.6933979999999998E-2</v>
      </c>
      <c r="N120">
        <v>-6.6089129999999996E-2</v>
      </c>
      <c r="O120">
        <v>-6.8404876000000003E-2</v>
      </c>
      <c r="P120">
        <v>-0.32872087</v>
      </c>
      <c r="Q120">
        <v>-0.13475055999999999</v>
      </c>
      <c r="R120">
        <v>-0.1361771</v>
      </c>
      <c r="S120">
        <v>-0.12213839999999999</v>
      </c>
      <c r="T120">
        <v>0.34277113999999997</v>
      </c>
      <c r="U120">
        <v>0.16399022999999999</v>
      </c>
      <c r="V120">
        <v>0.33120063</v>
      </c>
      <c r="W120">
        <v>-5.584795E-3</v>
      </c>
      <c r="X120">
        <v>-4.0574115000000001E-2</v>
      </c>
      <c r="Y120">
        <v>0.33584973000000001</v>
      </c>
      <c r="Z120">
        <v>-0.12346940000000001</v>
      </c>
      <c r="AA120">
        <v>-1.5237898E-2</v>
      </c>
      <c r="AB120">
        <v>3.1938344E-2</v>
      </c>
      <c r="AC120">
        <v>-0.14752736999999999</v>
      </c>
      <c r="AD120">
        <v>3.2621346000000002E-2</v>
      </c>
      <c r="AE120">
        <v>-0.16087325999999999</v>
      </c>
      <c r="AF120">
        <v>-0.102131896</v>
      </c>
      <c r="AG120">
        <v>-0.35424297999999999</v>
      </c>
      <c r="AH120">
        <v>0.118112445</v>
      </c>
      <c r="AI120">
        <v>0.136652</v>
      </c>
      <c r="AJ120">
        <v>0.18080363999999999</v>
      </c>
      <c r="AK120">
        <v>-0.22892012</v>
      </c>
      <c r="AL120">
        <v>-0.13334122000000001</v>
      </c>
      <c r="AM120">
        <v>2.4816362000000002E-2</v>
      </c>
      <c r="AN120">
        <v>-0.15985914000000001</v>
      </c>
      <c r="AO120">
        <v>3.4391150000000002E-2</v>
      </c>
      <c r="AP120">
        <v>-0.15406359999999999</v>
      </c>
      <c r="AQ120">
        <v>0.1867714</v>
      </c>
      <c r="AR120">
        <v>-0.30872630000000001</v>
      </c>
      <c r="AS120">
        <v>0.17500345</v>
      </c>
      <c r="AT120">
        <v>-0.37951443000000001</v>
      </c>
      <c r="AU120">
        <v>4.0320295999999999E-2</v>
      </c>
      <c r="AV120">
        <v>-0.19113527</v>
      </c>
      <c r="AW120">
        <v>-0.40256705999999998</v>
      </c>
      <c r="AX120">
        <v>1.2583789999999999E-2</v>
      </c>
      <c r="AY120">
        <v>0.25455514000000001</v>
      </c>
      <c r="AZ120">
        <v>-0.28789177999999999</v>
      </c>
      <c r="BA120">
        <v>0.16166654</v>
      </c>
      <c r="BB120">
        <v>-0.24518006000000001</v>
      </c>
      <c r="BC120">
        <v>-0.15101846999999999</v>
      </c>
      <c r="BD120">
        <v>2.9042793000000001E-2</v>
      </c>
      <c r="BE120">
        <v>4.7418979999999999E-2</v>
      </c>
      <c r="BF120">
        <v>-0.14426053999999999</v>
      </c>
      <c r="BG120">
        <v>-0.24122315999999999</v>
      </c>
      <c r="BH120">
        <v>0.14723910000000001</v>
      </c>
      <c r="BI120">
        <v>0.11472962</v>
      </c>
      <c r="BJ120">
        <v>-1.7777080000000001E-2</v>
      </c>
      <c r="BK120">
        <v>-7.9190120000000003E-2</v>
      </c>
      <c r="BL120">
        <v>-5.6122243000000002E-2</v>
      </c>
      <c r="BM120">
        <v>0.16764693</v>
      </c>
      <c r="BN120">
        <v>3.2083698000000001E-2</v>
      </c>
      <c r="BO120">
        <v>3.3130895000000001E-3</v>
      </c>
      <c r="BP120">
        <v>6.9706395000000004E-2</v>
      </c>
      <c r="BQ120">
        <v>0.11944145</v>
      </c>
      <c r="BR120">
        <v>-0.44587377</v>
      </c>
      <c r="BS120">
        <v>-0.10966863</v>
      </c>
      <c r="BT120">
        <v>6.946948E-2</v>
      </c>
      <c r="BU120">
        <v>-2.9401150000000001E-2</v>
      </c>
      <c r="BV120">
        <v>-1.4668492999999999E-2</v>
      </c>
      <c r="BW120">
        <v>-3.2863837E-2</v>
      </c>
      <c r="BX120">
        <v>-0.17010611</v>
      </c>
      <c r="BY120">
        <v>-9.4358906000000006E-2</v>
      </c>
      <c r="BZ120">
        <v>0.21979596000000001</v>
      </c>
      <c r="CA120">
        <v>-0.44872012999999999</v>
      </c>
      <c r="CB120">
        <v>-0.18682003</v>
      </c>
      <c r="CC120">
        <v>-1.5823919999999998E-2</v>
      </c>
      <c r="CD120">
        <v>-0.12453532</v>
      </c>
      <c r="CE120">
        <v>0.15767442000000001</v>
      </c>
      <c r="CF120">
        <v>-0.42663659999999998</v>
      </c>
      <c r="CG120">
        <v>0.18822786</v>
      </c>
      <c r="CH120">
        <v>-9.7427470000000002E-2</v>
      </c>
      <c r="CI120">
        <v>0.10554732</v>
      </c>
      <c r="CJ120">
        <v>0.1856353</v>
      </c>
      <c r="CK120">
        <v>8.6007780000000006E-2</v>
      </c>
      <c r="CL120">
        <v>4.0678396999999998E-2</v>
      </c>
      <c r="CM120">
        <v>-6.6644805000000001E-3</v>
      </c>
      <c r="CN120">
        <v>0.10237507</v>
      </c>
      <c r="CO120">
        <v>0.10128298400000001</v>
      </c>
      <c r="CP120">
        <v>0.13328098999999999</v>
      </c>
      <c r="CQ120">
        <v>-5.4224690000000001E-3</v>
      </c>
      <c r="CR120">
        <v>7.6986975999999999E-2</v>
      </c>
      <c r="CS120">
        <v>-0.10311779</v>
      </c>
      <c r="CT120">
        <v>-1.2922453E-2</v>
      </c>
      <c r="CU120">
        <v>0.19433917000000001</v>
      </c>
      <c r="CV120">
        <v>0.11451127</v>
      </c>
      <c r="CW120">
        <v>9.2373339999999998E-2</v>
      </c>
      <c r="CX120">
        <v>0.14232533999999999</v>
      </c>
      <c r="CY120">
        <v>-3.5223270000000001E-2</v>
      </c>
      <c r="CZ120">
        <v>-0.41636731999999999</v>
      </c>
      <c r="DA120">
        <v>-0.17180142000000001</v>
      </c>
      <c r="DB120">
        <v>4.2521820000000002E-2</v>
      </c>
      <c r="DC120">
        <v>2.9591783999999999E-2</v>
      </c>
      <c r="DD120">
        <v>-4.3801066E-2</v>
      </c>
      <c r="DE120">
        <v>7.9043440000000006E-2</v>
      </c>
      <c r="DF120">
        <v>0.20795430000000001</v>
      </c>
      <c r="DG120">
        <v>-0.15732715999999999</v>
      </c>
      <c r="DH120">
        <v>2.3212709000000002E-2</v>
      </c>
      <c r="DI120">
        <v>-4.0045725000000002E-3</v>
      </c>
      <c r="DJ120">
        <v>-0.16494693999999999</v>
      </c>
      <c r="DK120">
        <v>-9.5213430000000002E-2</v>
      </c>
      <c r="DL120">
        <v>-7.7269439999999995E-2</v>
      </c>
      <c r="DM120">
        <v>-9.0687719999999999E-2</v>
      </c>
      <c r="DN120">
        <v>7.0049286000000002E-2</v>
      </c>
      <c r="DO120">
        <v>-0.11576693</v>
      </c>
      <c r="DP120">
        <v>-4.5742176000000002E-2</v>
      </c>
      <c r="DQ120">
        <v>-0.18331383000000001</v>
      </c>
      <c r="DR120">
        <v>9.5918280000000002E-3</v>
      </c>
      <c r="DS120">
        <v>-1.9477734E-2</v>
      </c>
      <c r="DT120">
        <v>0.12472772</v>
      </c>
      <c r="DU120">
        <v>0.13527717</v>
      </c>
      <c r="DV120">
        <v>-0.83311559999999996</v>
      </c>
      <c r="DW120">
        <v>-0.15023881</v>
      </c>
      <c r="DX120">
        <v>-4.3956406000000003E-2</v>
      </c>
      <c r="DY120">
        <v>2.0368872E-2</v>
      </c>
      <c r="DZ120">
        <v>3.6037159999999999E-2</v>
      </c>
    </row>
    <row r="121" spans="1:130" x14ac:dyDescent="0.3">
      <c r="A121">
        <f>Board!$K$11</f>
        <v>0</v>
      </c>
      <c r="C121">
        <v>7.8877370000000002E-2</v>
      </c>
      <c r="D121">
        <v>0.16754657000000001</v>
      </c>
      <c r="E121">
        <v>0.16440975999999999</v>
      </c>
      <c r="F121">
        <v>6.7798049999999999E-2</v>
      </c>
      <c r="G121">
        <v>0.21010058000000001</v>
      </c>
      <c r="H121">
        <v>0.107990354</v>
      </c>
      <c r="I121">
        <v>3.0131482000000001E-2</v>
      </c>
      <c r="J121">
        <v>0.30870017</v>
      </c>
      <c r="K121">
        <v>-0.19617583999999999</v>
      </c>
      <c r="L121">
        <v>-0.18198102999999999</v>
      </c>
      <c r="M121">
        <v>-3.5137056999999999E-2</v>
      </c>
      <c r="N121">
        <v>-4.5759412999999999E-2</v>
      </c>
      <c r="O121">
        <v>-0.36134458000000003</v>
      </c>
      <c r="P121">
        <v>-0.24685863999999999</v>
      </c>
      <c r="Q121">
        <v>-8.5565604000000003E-2</v>
      </c>
      <c r="R121">
        <v>-0.21327462999999999</v>
      </c>
      <c r="S121">
        <v>-3.935806E-2</v>
      </c>
      <c r="T121">
        <v>0.40797489999999997</v>
      </c>
      <c r="U121">
        <v>0.12430592</v>
      </c>
      <c r="V121">
        <v>9.8937609999999995E-2</v>
      </c>
      <c r="W121">
        <v>4.9988322000000002E-2</v>
      </c>
      <c r="X121">
        <v>-0.26242575000000001</v>
      </c>
      <c r="Y121">
        <v>0.22542346999999999</v>
      </c>
      <c r="Z121">
        <v>-0.19573647</v>
      </c>
      <c r="AA121">
        <v>0.13217773999999999</v>
      </c>
      <c r="AB121">
        <v>5.4629733999999996E-3</v>
      </c>
      <c r="AC121">
        <v>-7.0198259999999998E-2</v>
      </c>
      <c r="AD121">
        <v>6.3174129999999995E-2</v>
      </c>
      <c r="AE121">
        <v>5.8453623000000003E-2</v>
      </c>
      <c r="AF121">
        <v>8.2662669999999994E-2</v>
      </c>
      <c r="AG121">
        <v>-0.32346633000000002</v>
      </c>
      <c r="AH121">
        <v>0.15203564999999999</v>
      </c>
      <c r="AI121">
        <v>-0.12321201</v>
      </c>
      <c r="AJ121">
        <v>0.10204560999999999</v>
      </c>
      <c r="AK121">
        <v>-0.10892729499999999</v>
      </c>
      <c r="AL121">
        <v>-0.26255852000000002</v>
      </c>
      <c r="AM121">
        <v>3.8812760000000002E-2</v>
      </c>
      <c r="AN121">
        <v>-0.18316004</v>
      </c>
      <c r="AO121">
        <v>0.18442014000000001</v>
      </c>
      <c r="AP121">
        <v>-0.16321103000000001</v>
      </c>
      <c r="AQ121">
        <v>0.123307526</v>
      </c>
      <c r="AR121">
        <v>-0.43453634000000002</v>
      </c>
      <c r="AS121">
        <v>3.0539429999999999E-2</v>
      </c>
      <c r="AT121">
        <v>4.4827144999999999E-2</v>
      </c>
      <c r="AU121">
        <v>-6.4875260000000004E-4</v>
      </c>
      <c r="AV121">
        <v>-2.8496355000000001E-2</v>
      </c>
      <c r="AW121">
        <v>-0.14142948</v>
      </c>
      <c r="AX121">
        <v>0.122895464</v>
      </c>
      <c r="AY121">
        <v>0.14427773999999999</v>
      </c>
      <c r="AZ121">
        <v>-0.2841745</v>
      </c>
      <c r="BA121">
        <v>0.17165810000000001</v>
      </c>
      <c r="BB121">
        <v>-0.26477655999999999</v>
      </c>
      <c r="BC121">
        <v>-4.2068846999999999E-2</v>
      </c>
      <c r="BD121">
        <v>5.1201630000000001E-4</v>
      </c>
      <c r="BE121">
        <v>-8.1502900000000003E-2</v>
      </c>
      <c r="BF121">
        <v>-0.4234174</v>
      </c>
      <c r="BG121">
        <v>-8.9734209999999995E-2</v>
      </c>
      <c r="BH121">
        <v>0.32201185999999998</v>
      </c>
      <c r="BI121">
        <v>2.8102232000000001E-2</v>
      </c>
      <c r="BJ121">
        <v>0.17329332</v>
      </c>
      <c r="BK121">
        <v>-0.111360654</v>
      </c>
      <c r="BL121">
        <v>1.3994684E-2</v>
      </c>
      <c r="BM121">
        <v>-3.6835975999999999E-2</v>
      </c>
      <c r="BN121">
        <v>6.8248390000000006E-2</v>
      </c>
      <c r="BO121">
        <v>1.0102468999999999E-2</v>
      </c>
      <c r="BP121">
        <v>9.7340109999999994E-2</v>
      </c>
      <c r="BQ121">
        <v>0.25124043000000001</v>
      </c>
      <c r="BR121">
        <v>-0.48680975999999998</v>
      </c>
      <c r="BS121">
        <v>1.3189266E-2</v>
      </c>
      <c r="BT121">
        <v>0.12842421000000001</v>
      </c>
      <c r="BU121">
        <v>-0.23553300999999999</v>
      </c>
      <c r="BV121">
        <v>-0.14150973999999999</v>
      </c>
      <c r="BW121">
        <v>2.0600746999999999E-2</v>
      </c>
      <c r="BX121">
        <v>-0.16451262999999999</v>
      </c>
      <c r="BY121">
        <v>3.1690563999999997E-2</v>
      </c>
      <c r="BZ121">
        <v>0.17044429999999999</v>
      </c>
      <c r="CA121">
        <v>-0.22061807999999999</v>
      </c>
      <c r="CB121">
        <v>-4.2839450000000001E-2</v>
      </c>
      <c r="CC121">
        <v>6.0410507000000002E-2</v>
      </c>
      <c r="CD121">
        <v>3.9548274000000001E-2</v>
      </c>
      <c r="CE121">
        <v>0.28648352999999999</v>
      </c>
      <c r="CF121">
        <v>-0.30081649999999999</v>
      </c>
      <c r="CG121">
        <v>-8.0158069999999998E-2</v>
      </c>
      <c r="CH121">
        <v>5.9087616000000004E-3</v>
      </c>
      <c r="CI121">
        <v>0.19980548000000001</v>
      </c>
      <c r="CJ121">
        <v>4.7998745000000002E-2</v>
      </c>
      <c r="CK121">
        <v>-0.1181432</v>
      </c>
      <c r="CL121">
        <v>5.0783870000000002E-2</v>
      </c>
      <c r="CM121">
        <v>0.14339024</v>
      </c>
      <c r="CN121">
        <v>0.103009954</v>
      </c>
      <c r="CO121">
        <v>-6.6173344999999995E-2</v>
      </c>
      <c r="CP121">
        <v>-8.2839960000000004E-2</v>
      </c>
      <c r="CQ121">
        <v>1.7677603E-2</v>
      </c>
      <c r="CR121">
        <v>7.3247634000000006E-2</v>
      </c>
      <c r="CS121">
        <v>-0.13164449</v>
      </c>
      <c r="CT121">
        <v>3.0405221999999999E-2</v>
      </c>
      <c r="CU121">
        <v>-0.16986473999999999</v>
      </c>
      <c r="CV121">
        <v>5.6276447E-3</v>
      </c>
      <c r="CW121">
        <v>-6.5007209999999996E-2</v>
      </c>
      <c r="CX121">
        <v>6.750573E-2</v>
      </c>
      <c r="CY121">
        <v>-7.6669009999999996E-2</v>
      </c>
      <c r="CZ121">
        <v>-0.17488751</v>
      </c>
      <c r="DA121">
        <v>-0.11773227</v>
      </c>
      <c r="DB121">
        <v>1.0257092000000001E-2</v>
      </c>
      <c r="DC121">
        <v>-0.15221807000000001</v>
      </c>
      <c r="DD121">
        <v>-0.11484734000000001</v>
      </c>
      <c r="DE121">
        <v>0.21236938</v>
      </c>
      <c r="DF121">
        <v>0.13269365999999999</v>
      </c>
      <c r="DG121">
        <v>-0.21043074000000001</v>
      </c>
      <c r="DH121">
        <v>-0.106283695</v>
      </c>
      <c r="DI121">
        <v>9.0106309999999995E-2</v>
      </c>
      <c r="DJ121">
        <v>-1.9189823000000002E-2</v>
      </c>
      <c r="DK121">
        <v>-0.15814191</v>
      </c>
      <c r="DL121">
        <v>-6.8292740000000005E-2</v>
      </c>
      <c r="DM121">
        <v>1.1595205000000001E-2</v>
      </c>
      <c r="DN121">
        <v>7.4073130000000001E-2</v>
      </c>
      <c r="DO121">
        <v>3.71229E-2</v>
      </c>
      <c r="DP121">
        <v>0.15277584999999999</v>
      </c>
      <c r="DQ121">
        <v>-0.29072007999999999</v>
      </c>
      <c r="DR121">
        <v>6.1139520000000003E-2</v>
      </c>
      <c r="DS121">
        <v>-3.9177317000000003E-2</v>
      </c>
      <c r="DT121">
        <v>4.8199352000000001E-2</v>
      </c>
      <c r="DU121">
        <v>-0.15864900000000001</v>
      </c>
      <c r="DV121">
        <v>-0.40854695000000002</v>
      </c>
      <c r="DW121">
        <v>-8.7323819999999996E-2</v>
      </c>
      <c r="DX121">
        <v>-3.8178520000000001E-2</v>
      </c>
      <c r="DY121">
        <v>-0.12721853</v>
      </c>
      <c r="DZ121">
        <v>-9.9832796000000001E-2</v>
      </c>
    </row>
    <row r="122" spans="1:130" x14ac:dyDescent="0.3">
      <c r="A122">
        <f>Board!$L$11</f>
        <v>0</v>
      </c>
      <c r="C122">
        <v>0.23898874000000001</v>
      </c>
      <c r="D122">
        <v>0.14707886000000001</v>
      </c>
      <c r="E122">
        <v>0.1423133</v>
      </c>
      <c r="F122">
        <v>-3.9408810000000002E-2</v>
      </c>
      <c r="G122">
        <v>0.28306952000000002</v>
      </c>
      <c r="H122">
        <v>0.116079986</v>
      </c>
      <c r="I122">
        <v>0.23493628</v>
      </c>
      <c r="J122">
        <v>0.28347316</v>
      </c>
      <c r="K122">
        <v>-0.10145719</v>
      </c>
      <c r="L122">
        <v>-0.12674278</v>
      </c>
      <c r="M122">
        <v>3.831031E-2</v>
      </c>
      <c r="N122">
        <v>-7.7627603999999998E-3</v>
      </c>
      <c r="O122">
        <v>-0.53841317</v>
      </c>
      <c r="P122">
        <v>-0.26853895</v>
      </c>
      <c r="Q122">
        <v>-8.6651619999999999E-2</v>
      </c>
      <c r="R122">
        <v>-0.13871918999999999</v>
      </c>
      <c r="S122">
        <v>-5.2961759999999997E-2</v>
      </c>
      <c r="T122">
        <v>0.2349927</v>
      </c>
      <c r="U122">
        <v>5.2084529999999997E-2</v>
      </c>
      <c r="V122">
        <v>9.0781815000000002E-2</v>
      </c>
      <c r="W122">
        <v>0.13191133999999999</v>
      </c>
      <c r="X122">
        <v>-0.29182344999999998</v>
      </c>
      <c r="Y122">
        <v>0.23015459999999999</v>
      </c>
      <c r="Z122">
        <v>-6.7175159999999998E-3</v>
      </c>
      <c r="AA122">
        <v>-5.9856350000000002E-5</v>
      </c>
      <c r="AB122">
        <v>0.18532141999999999</v>
      </c>
      <c r="AC122">
        <v>8.930246E-2</v>
      </c>
      <c r="AD122">
        <v>0.11798822</v>
      </c>
      <c r="AE122">
        <v>0.27642998000000002</v>
      </c>
      <c r="AF122">
        <v>-0.14279404000000001</v>
      </c>
      <c r="AG122">
        <v>-6.2749929999999995E-2</v>
      </c>
      <c r="AH122">
        <v>0.42423904000000001</v>
      </c>
      <c r="AI122">
        <v>0.13999607999999999</v>
      </c>
      <c r="AJ122">
        <v>-4.4294406000000001E-2</v>
      </c>
      <c r="AK122">
        <v>-5.3423542999999997E-2</v>
      </c>
      <c r="AL122">
        <v>-3.6967896E-2</v>
      </c>
      <c r="AM122">
        <v>0.15854847</v>
      </c>
      <c r="AN122">
        <v>-0.35043752</v>
      </c>
      <c r="AO122">
        <v>0.1744676</v>
      </c>
      <c r="AP122">
        <v>-0.26357174</v>
      </c>
      <c r="AQ122">
        <v>0.16772333</v>
      </c>
      <c r="AR122">
        <v>-0.25069957999999998</v>
      </c>
      <c r="AS122">
        <v>-0.107783146</v>
      </c>
      <c r="AT122">
        <v>-0.19064184000000001</v>
      </c>
      <c r="AU122">
        <v>-6.9518579999999996E-2</v>
      </c>
      <c r="AV122">
        <v>-0.11699778</v>
      </c>
      <c r="AW122">
        <v>0.123881556</v>
      </c>
      <c r="AX122">
        <v>0.10242292</v>
      </c>
      <c r="AY122">
        <v>0.22193082</v>
      </c>
      <c r="AZ122">
        <v>-5.5908426999999997E-2</v>
      </c>
      <c r="BA122">
        <v>0.25189630000000002</v>
      </c>
      <c r="BB122">
        <v>-5.748172E-2</v>
      </c>
      <c r="BC122">
        <v>-0.17124838000000001</v>
      </c>
      <c r="BD122">
        <v>0.31382903000000001</v>
      </c>
      <c r="BE122">
        <v>7.011995E-3</v>
      </c>
      <c r="BF122">
        <v>-0.28469457999999997</v>
      </c>
      <c r="BG122">
        <v>9.1489829999999994E-2</v>
      </c>
      <c r="BH122">
        <v>0.28108214999999998</v>
      </c>
      <c r="BI122">
        <v>-0.19091378000000001</v>
      </c>
      <c r="BJ122">
        <v>-7.6387029999999995E-2</v>
      </c>
      <c r="BK122">
        <v>-5.7703503000000001E-3</v>
      </c>
      <c r="BL122">
        <v>-5.7168886000000002E-2</v>
      </c>
      <c r="BM122">
        <v>7.4705034000000003E-2</v>
      </c>
      <c r="BN122">
        <v>-1.2625789E-2</v>
      </c>
      <c r="BO122">
        <v>-2.4612272000000001E-2</v>
      </c>
      <c r="BP122">
        <v>0.1442512</v>
      </c>
      <c r="BQ122">
        <v>7.5040579999999996E-2</v>
      </c>
      <c r="BR122">
        <v>-0.4166842</v>
      </c>
      <c r="BS122">
        <v>-1.067121E-2</v>
      </c>
      <c r="BT122">
        <v>9.1949970000000006E-2</v>
      </c>
      <c r="BU122">
        <v>-5.7017412000000003E-2</v>
      </c>
      <c r="BV122">
        <v>-0.18338566000000001</v>
      </c>
      <c r="BW122">
        <v>-0.10699794</v>
      </c>
      <c r="BX122">
        <v>-8.4216689999999997E-2</v>
      </c>
      <c r="BY122">
        <v>-7.4835479999999996E-2</v>
      </c>
      <c r="BZ122">
        <v>0.16269468000000001</v>
      </c>
      <c r="CA122">
        <v>-6.0994470000000002E-2</v>
      </c>
      <c r="CB122">
        <v>-2.7976108999999999E-2</v>
      </c>
      <c r="CC122">
        <v>0.107549325</v>
      </c>
      <c r="CD122">
        <v>-0.13737576000000001</v>
      </c>
      <c r="CE122">
        <v>0.29647815</v>
      </c>
      <c r="CF122">
        <v>6.2728464999999997E-2</v>
      </c>
      <c r="CG122">
        <v>-0.19187683999999999</v>
      </c>
      <c r="CH122">
        <v>-0.15958859</v>
      </c>
      <c r="CI122">
        <v>1.5678899999999999E-2</v>
      </c>
      <c r="CJ122">
        <v>8.0205570000000004E-2</v>
      </c>
      <c r="CK122">
        <v>-0.18559155999999999</v>
      </c>
      <c r="CL122">
        <v>0.116725646</v>
      </c>
      <c r="CM122">
        <v>5.423675E-2</v>
      </c>
      <c r="CN122">
        <v>0.24624993000000001</v>
      </c>
      <c r="CO122">
        <v>0.20386921999999999</v>
      </c>
      <c r="CP122">
        <v>-0.10189968000000001</v>
      </c>
      <c r="CQ122">
        <v>0.18831134999999999</v>
      </c>
      <c r="CR122">
        <v>4.5028319999999997E-2</v>
      </c>
      <c r="CS122">
        <v>0.107726075</v>
      </c>
      <c r="CT122">
        <v>0.18594651000000001</v>
      </c>
      <c r="CU122">
        <v>-0.35245162000000002</v>
      </c>
      <c r="CV122">
        <v>0.10717168000000001</v>
      </c>
      <c r="CW122">
        <v>-5.3530010000000003E-2</v>
      </c>
      <c r="CX122">
        <v>-1.0081234999999999E-2</v>
      </c>
      <c r="CY122">
        <v>-3.6494374000000003E-2</v>
      </c>
      <c r="CZ122">
        <v>-0.2132878</v>
      </c>
      <c r="DA122">
        <v>2.1342486000000001E-2</v>
      </c>
      <c r="DB122">
        <v>3.6611322000000002E-2</v>
      </c>
      <c r="DC122">
        <v>-0.19373986000000001</v>
      </c>
      <c r="DD122">
        <v>0.16989592000000001</v>
      </c>
      <c r="DE122">
        <v>0.20408610999999999</v>
      </c>
      <c r="DF122">
        <v>0.15461609000000001</v>
      </c>
      <c r="DG122">
        <v>1.7805853999999999E-2</v>
      </c>
      <c r="DH122">
        <v>0.18578786999999999</v>
      </c>
      <c r="DI122">
        <v>-2.8878424E-2</v>
      </c>
      <c r="DJ122">
        <v>-8.5041060000000002E-2</v>
      </c>
      <c r="DK122">
        <v>-0.33209287999999998</v>
      </c>
      <c r="DL122">
        <v>0.19341602999999999</v>
      </c>
      <c r="DM122">
        <v>0.24324626999999999</v>
      </c>
      <c r="DN122">
        <v>4.2329248E-2</v>
      </c>
      <c r="DO122">
        <v>5.8192115000000003E-2</v>
      </c>
      <c r="DP122">
        <v>3.2755385999999997E-2</v>
      </c>
      <c r="DQ122">
        <v>-0.14020519000000001</v>
      </c>
      <c r="DR122">
        <v>2.5969867000000001E-2</v>
      </c>
      <c r="DS122">
        <v>3.5457089999999997E-2</v>
      </c>
      <c r="DT122">
        <v>9.3827695000000003E-2</v>
      </c>
      <c r="DU122">
        <v>-1.4185240999999999E-2</v>
      </c>
      <c r="DV122">
        <v>-0.230605</v>
      </c>
      <c r="DW122">
        <v>-0.23056531</v>
      </c>
      <c r="DX122">
        <v>0.17892530000000001</v>
      </c>
      <c r="DY122">
        <v>-0.23243931000000001</v>
      </c>
      <c r="DZ122">
        <v>-7.9553019999999998E-4</v>
      </c>
    </row>
    <row r="123" spans="1:130" x14ac:dyDescent="0.3">
      <c r="A123">
        <f>Board!$M$11</f>
        <v>0</v>
      </c>
      <c r="C123">
        <v>0.20389898000000001</v>
      </c>
      <c r="D123">
        <v>2.0789671999999999E-2</v>
      </c>
      <c r="E123">
        <v>-0.29540420000000001</v>
      </c>
      <c r="F123">
        <v>8.0166470000000004E-2</v>
      </c>
      <c r="G123">
        <v>3.5985187000000002E-2</v>
      </c>
      <c r="H123">
        <v>-1.7696574E-2</v>
      </c>
      <c r="I123">
        <v>-2.2553931999999999E-2</v>
      </c>
      <c r="J123">
        <v>0.13366065999999999</v>
      </c>
      <c r="K123">
        <v>7.3105014999999995E-2</v>
      </c>
      <c r="L123">
        <v>4.5524225000000001E-2</v>
      </c>
      <c r="M123">
        <v>-0.14019530999999999</v>
      </c>
      <c r="N123">
        <v>9.3774200000000002E-2</v>
      </c>
      <c r="O123">
        <v>-0.14998262000000001</v>
      </c>
      <c r="P123">
        <v>0.104882225</v>
      </c>
      <c r="Q123">
        <v>0.23938242000000001</v>
      </c>
      <c r="R123">
        <v>4.900736E-2</v>
      </c>
      <c r="S123">
        <v>1.0678445999999999E-2</v>
      </c>
      <c r="T123">
        <v>7.1831614000000002E-2</v>
      </c>
      <c r="U123">
        <v>-3.1468138E-2</v>
      </c>
      <c r="V123">
        <v>-0.33738497000000001</v>
      </c>
      <c r="W123">
        <v>9.4970404999999994E-2</v>
      </c>
      <c r="X123">
        <v>-4.1538289999999999E-2</v>
      </c>
      <c r="Y123">
        <v>0.17460512</v>
      </c>
      <c r="Z123">
        <v>6.5168619999999997E-2</v>
      </c>
      <c r="AA123">
        <v>-0.104555465</v>
      </c>
      <c r="AB123">
        <v>-9.35069E-3</v>
      </c>
      <c r="AC123">
        <v>3.4147509999999999E-2</v>
      </c>
      <c r="AD123">
        <v>0.18596971000000001</v>
      </c>
      <c r="AE123">
        <v>0.32789164999999998</v>
      </c>
      <c r="AF123">
        <v>-0.13567868</v>
      </c>
      <c r="AG123">
        <v>-5.5076443000000003E-2</v>
      </c>
      <c r="AH123">
        <v>0.34142515000000001</v>
      </c>
      <c r="AI123">
        <v>0.10173231000000001</v>
      </c>
      <c r="AJ123">
        <v>-8.9830199999999999E-2</v>
      </c>
      <c r="AK123">
        <v>-4.2073039999999999E-2</v>
      </c>
      <c r="AL123">
        <v>0.119497515</v>
      </c>
      <c r="AM123">
        <v>0.23453283</v>
      </c>
      <c r="AN123">
        <v>-0.25541717000000003</v>
      </c>
      <c r="AO123">
        <v>6.3167220000000003E-3</v>
      </c>
      <c r="AP123">
        <v>-0.32587048000000002</v>
      </c>
      <c r="AQ123">
        <v>-0.26222536000000002</v>
      </c>
      <c r="AR123">
        <v>-2.3279935000000002E-3</v>
      </c>
      <c r="AS123">
        <v>-0.22054923000000001</v>
      </c>
      <c r="AT123">
        <v>-5.9624106000000003E-2</v>
      </c>
      <c r="AU123">
        <v>-0.13039919999999999</v>
      </c>
      <c r="AV123">
        <v>3.7343330000000001E-2</v>
      </c>
      <c r="AW123">
        <v>0.10577591</v>
      </c>
      <c r="AX123">
        <v>9.072674E-2</v>
      </c>
      <c r="AY123">
        <v>9.8971835999999994E-2</v>
      </c>
      <c r="AZ123">
        <v>3.161945E-2</v>
      </c>
      <c r="BA123">
        <v>0.35136210000000001</v>
      </c>
      <c r="BB123">
        <v>7.3724090000000006E-2</v>
      </c>
      <c r="BC123">
        <v>2.7484934999999999E-2</v>
      </c>
      <c r="BD123">
        <v>2.0475725E-2</v>
      </c>
      <c r="BE123">
        <v>-1.4815851E-2</v>
      </c>
      <c r="BF123">
        <v>5.3895153000000001E-2</v>
      </c>
      <c r="BG123">
        <v>-0.109137945</v>
      </c>
      <c r="BH123">
        <v>2.0241453999999999E-2</v>
      </c>
      <c r="BI123">
        <v>-0.21368796000000001</v>
      </c>
      <c r="BJ123">
        <v>0.28262110000000001</v>
      </c>
      <c r="BK123">
        <v>-0.16364248000000001</v>
      </c>
      <c r="BL123">
        <v>-0.30462864000000001</v>
      </c>
      <c r="BM123">
        <v>0.16784845000000001</v>
      </c>
      <c r="BN123">
        <v>-7.1337209999999998E-2</v>
      </c>
      <c r="BO123">
        <v>0.11605684500000001</v>
      </c>
      <c r="BP123">
        <v>-1.6705606000000001E-2</v>
      </c>
      <c r="BQ123">
        <v>-1.5285659E-2</v>
      </c>
      <c r="BR123">
        <v>-0.15841071000000001</v>
      </c>
      <c r="BS123">
        <v>0.120169595</v>
      </c>
      <c r="BT123">
        <v>0.22595515999999999</v>
      </c>
      <c r="BU123">
        <v>1.3901442E-2</v>
      </c>
      <c r="BV123">
        <v>-5.7157963999999999E-2</v>
      </c>
      <c r="BW123">
        <v>8.0894259999999996E-2</v>
      </c>
      <c r="BX123">
        <v>-4.6059719999999998E-2</v>
      </c>
      <c r="BY123">
        <v>7.1540129999999993E-2</v>
      </c>
      <c r="BZ123">
        <v>0.18240904999999999</v>
      </c>
      <c r="CA123">
        <v>7.8851104000000005E-2</v>
      </c>
      <c r="CB123">
        <v>-0.10198108</v>
      </c>
      <c r="CC123">
        <v>0.17062567000000001</v>
      </c>
      <c r="CD123">
        <v>-0.12518700999999999</v>
      </c>
      <c r="CE123">
        <v>0.13680042000000001</v>
      </c>
      <c r="CF123">
        <v>0.26533770000000001</v>
      </c>
      <c r="CG123">
        <v>6.8004780000000004E-3</v>
      </c>
      <c r="CH123">
        <v>-0.15827721</v>
      </c>
      <c r="CI123">
        <v>0.30881760000000003</v>
      </c>
      <c r="CJ123">
        <v>0.10213529</v>
      </c>
      <c r="CK123">
        <v>-7.5857610000000006E-2</v>
      </c>
      <c r="CL123">
        <v>5.1608443999999996E-3</v>
      </c>
      <c r="CM123">
        <v>0.17780438000000001</v>
      </c>
      <c r="CN123">
        <v>0.225942</v>
      </c>
      <c r="CO123">
        <v>-4.1404227000000002E-3</v>
      </c>
      <c r="CP123">
        <v>-9.4856280000000001E-2</v>
      </c>
      <c r="CQ123">
        <v>0.14421988999999999</v>
      </c>
      <c r="CR123">
        <v>0.32485396</v>
      </c>
      <c r="CS123">
        <v>1.1681260000000001E-2</v>
      </c>
      <c r="CT123">
        <v>5.4597954999999997E-2</v>
      </c>
      <c r="CU123">
        <v>-9.9982790000000002E-2</v>
      </c>
      <c r="CV123">
        <v>-0.121715665</v>
      </c>
      <c r="CW123">
        <v>0.12587632000000001</v>
      </c>
      <c r="CX123">
        <v>8.5181469999999995E-2</v>
      </c>
      <c r="CY123">
        <v>-2.5110468E-2</v>
      </c>
      <c r="CZ123">
        <v>-3.7641019999999997E-2</v>
      </c>
      <c r="DA123">
        <v>-4.0286954E-2</v>
      </c>
      <c r="DB123">
        <v>0.20652082999999999</v>
      </c>
      <c r="DC123">
        <v>-0.19324198000000001</v>
      </c>
      <c r="DD123">
        <v>-4.4008285000000001E-2</v>
      </c>
      <c r="DE123">
        <v>0.13969845</v>
      </c>
      <c r="DF123">
        <v>-0.17462030000000001</v>
      </c>
      <c r="DG123">
        <v>0.15685445000000001</v>
      </c>
      <c r="DH123">
        <v>1.6821116000000001E-2</v>
      </c>
      <c r="DI123">
        <v>5.5369834999999999E-2</v>
      </c>
      <c r="DJ123">
        <v>-0.15132767</v>
      </c>
      <c r="DK123">
        <v>-0.18372901</v>
      </c>
      <c r="DL123">
        <v>2.4458777000000001E-2</v>
      </c>
      <c r="DM123">
        <v>8.9979050000000005E-2</v>
      </c>
      <c r="DN123">
        <v>0.12730287000000001</v>
      </c>
      <c r="DO123">
        <v>-2.8925817E-2</v>
      </c>
      <c r="DP123">
        <v>-7.674454E-2</v>
      </c>
      <c r="DQ123">
        <v>2.0388201999999998E-3</v>
      </c>
      <c r="DR123">
        <v>0.29421819999999999</v>
      </c>
      <c r="DS123">
        <v>0.12619095</v>
      </c>
      <c r="DT123">
        <v>-0.13058151000000001</v>
      </c>
      <c r="DU123">
        <v>-0.18430311999999999</v>
      </c>
      <c r="DV123">
        <v>-5.4223800000000003E-2</v>
      </c>
      <c r="DW123">
        <v>-0.13301408000000001</v>
      </c>
      <c r="DX123">
        <v>0.36965334</v>
      </c>
      <c r="DY123">
        <v>-0.10521616</v>
      </c>
      <c r="DZ123">
        <v>-6.3658393999999993E-2</v>
      </c>
    </row>
    <row r="124" spans="1:130" x14ac:dyDescent="0.3">
      <c r="A124">
        <f>Board!$B$12</f>
        <v>0</v>
      </c>
      <c r="C124">
        <v>1.8425357999999999E-2</v>
      </c>
      <c r="D124">
        <v>-0.11414418</v>
      </c>
      <c r="E124">
        <v>-0.15421331999999999</v>
      </c>
      <c r="F124">
        <v>6.277692E-2</v>
      </c>
      <c r="G124">
        <v>7.5540399999999994E-2</v>
      </c>
      <c r="H124">
        <v>-1.6420226999999999E-2</v>
      </c>
      <c r="I124">
        <v>-0.11575663</v>
      </c>
      <c r="J124">
        <v>7.7941640000000006E-2</v>
      </c>
      <c r="K124">
        <v>-2.8948531999999999E-2</v>
      </c>
      <c r="L124">
        <v>6.7969290000000002E-2</v>
      </c>
      <c r="M124">
        <v>0.17418504000000001</v>
      </c>
      <c r="N124">
        <v>0.12076434</v>
      </c>
      <c r="O124">
        <v>0.16531962</v>
      </c>
      <c r="P124">
        <v>-0.23686541999999999</v>
      </c>
      <c r="Q124">
        <v>0.10777566</v>
      </c>
      <c r="R124">
        <v>3.3619772999999999E-2</v>
      </c>
      <c r="S124">
        <v>0.13364799999999999</v>
      </c>
      <c r="T124">
        <v>0.11348262000000001</v>
      </c>
      <c r="U124">
        <v>8.9663419999999994E-2</v>
      </c>
      <c r="V124">
        <v>8.333877E-3</v>
      </c>
      <c r="W124">
        <v>0.16590782000000001</v>
      </c>
      <c r="X124">
        <v>-0.23856425000000001</v>
      </c>
      <c r="Y124">
        <v>-0.100012764</v>
      </c>
      <c r="Z124">
        <v>0.13563339999999999</v>
      </c>
      <c r="AA124">
        <v>5.0484019999999998E-2</v>
      </c>
      <c r="AB124">
        <v>6.4826149999999999E-2</v>
      </c>
      <c r="AC124">
        <v>-0.14033662</v>
      </c>
      <c r="AD124">
        <v>-7.7932976000000001E-2</v>
      </c>
      <c r="AE124">
        <v>-5.4676519999999999E-2</v>
      </c>
      <c r="AF124">
        <v>-4.5567087999999999E-2</v>
      </c>
      <c r="AG124">
        <v>-0.14375115999999999</v>
      </c>
      <c r="AH124">
        <v>3.1431023000000002E-2</v>
      </c>
      <c r="AI124">
        <v>-2.8735879999999998E-3</v>
      </c>
      <c r="AJ124">
        <v>8.6414779999999997E-2</v>
      </c>
      <c r="AK124">
        <v>8.5458049999999994E-2</v>
      </c>
      <c r="AL124">
        <v>2.5806477000000001E-2</v>
      </c>
      <c r="AM124">
        <v>-0.15319149000000001</v>
      </c>
      <c r="AN124">
        <v>0.17492458</v>
      </c>
      <c r="AO124">
        <v>0.10132233</v>
      </c>
      <c r="AP124">
        <v>-2.6357185000000002E-2</v>
      </c>
      <c r="AQ124">
        <v>-8.3114750000000001E-2</v>
      </c>
      <c r="AR124">
        <v>1.9596879999999998E-3</v>
      </c>
      <c r="AS124">
        <v>-0.11236432</v>
      </c>
      <c r="AT124">
        <v>-0.16360148999999999</v>
      </c>
      <c r="AU124">
        <v>0.15514248999999999</v>
      </c>
      <c r="AV124">
        <v>-0.10400253499999999</v>
      </c>
      <c r="AW124">
        <v>-9.3986176000000005E-2</v>
      </c>
      <c r="AX124">
        <v>-0.22894666999999999</v>
      </c>
      <c r="AY124">
        <v>-9.5477409999999999E-2</v>
      </c>
      <c r="AZ124">
        <v>-6.9047319999999995E-2</v>
      </c>
      <c r="BA124">
        <v>-0.22383212999999999</v>
      </c>
      <c r="BB124">
        <v>0.15523665</v>
      </c>
      <c r="BC124">
        <v>6.0583669999999999E-2</v>
      </c>
      <c r="BD124">
        <v>1.5530153E-2</v>
      </c>
      <c r="BE124">
        <v>0.31165897999999997</v>
      </c>
      <c r="BF124">
        <v>0.118047744</v>
      </c>
      <c r="BG124">
        <v>-9.2874415000000002E-2</v>
      </c>
      <c r="BH124">
        <v>6.8156010000000003E-2</v>
      </c>
      <c r="BI124">
        <v>0.16994292</v>
      </c>
      <c r="BJ124">
        <v>-5.1884304999999999E-2</v>
      </c>
      <c r="BK124">
        <v>-7.1296887000000001E-3</v>
      </c>
      <c r="BL124">
        <v>5.1714732999999999E-2</v>
      </c>
      <c r="BM124">
        <v>-0.28112122</v>
      </c>
      <c r="BN124">
        <v>-3.6100670000000001E-2</v>
      </c>
      <c r="BO124">
        <v>-9.1752159999999999E-3</v>
      </c>
      <c r="BP124">
        <v>0.16416465999999999</v>
      </c>
      <c r="BQ124">
        <v>4.1709657999999997E-2</v>
      </c>
      <c r="BR124">
        <v>-8.2191095000000006E-2</v>
      </c>
      <c r="BS124">
        <v>-0.12875650999999999</v>
      </c>
      <c r="BT124">
        <v>0.1931254</v>
      </c>
      <c r="BU124">
        <v>1.3627986999999999E-2</v>
      </c>
      <c r="BV124">
        <v>0.13738257000000001</v>
      </c>
      <c r="BW124">
        <v>3.3915124999999997E-2</v>
      </c>
      <c r="BX124">
        <v>1.8879056000000002E-2</v>
      </c>
      <c r="BY124">
        <v>-7.7816300000000003E-3</v>
      </c>
      <c r="BZ124">
        <v>-0.15952311</v>
      </c>
      <c r="CA124">
        <v>7.1490490000000004E-2</v>
      </c>
      <c r="CB124">
        <v>-7.0550139999999997E-2</v>
      </c>
      <c r="CC124">
        <v>0.14469557</v>
      </c>
      <c r="CD124">
        <v>0.18228412999999999</v>
      </c>
      <c r="CE124">
        <v>6.1569515999999998E-2</v>
      </c>
      <c r="CF124">
        <v>-0.24646319999999999</v>
      </c>
      <c r="CG124">
        <v>0.1456423</v>
      </c>
      <c r="CH124">
        <v>-8.0354969999999998E-2</v>
      </c>
      <c r="CI124">
        <v>-0.20598749999999999</v>
      </c>
      <c r="CJ124">
        <v>1.0473036999999999E-2</v>
      </c>
      <c r="CK124">
        <v>3.2696846999999999E-3</v>
      </c>
      <c r="CL124">
        <v>4.1752326999999999E-3</v>
      </c>
      <c r="CM124">
        <v>-0.13295372999999999</v>
      </c>
      <c r="CN124">
        <v>-7.9586074000000007E-2</v>
      </c>
      <c r="CO124">
        <v>-3.107176E-2</v>
      </c>
      <c r="CP124">
        <v>-0.10584453000000001</v>
      </c>
      <c r="CQ124">
        <v>-0.18520006999999999</v>
      </c>
      <c r="CR124">
        <v>0.12226233</v>
      </c>
      <c r="CS124">
        <v>3.7645970000000001E-2</v>
      </c>
      <c r="CT124">
        <v>0.27291068000000002</v>
      </c>
      <c r="CU124">
        <v>0.10643701999999999</v>
      </c>
      <c r="CV124">
        <v>-3.2707050000000001E-2</v>
      </c>
      <c r="CW124">
        <v>-7.1168720000000005E-2</v>
      </c>
      <c r="CX124">
        <v>-0.10890543499999999</v>
      </c>
      <c r="CY124">
        <v>1.9592647000000001E-2</v>
      </c>
      <c r="CZ124">
        <v>6.9750430000000002E-2</v>
      </c>
      <c r="DA124">
        <v>-0.21558173</v>
      </c>
      <c r="DB124">
        <v>0.221252</v>
      </c>
      <c r="DC124">
        <v>-8.3433019999999997E-2</v>
      </c>
      <c r="DD124">
        <v>-5.8254488E-2</v>
      </c>
      <c r="DE124">
        <v>9.8878679999999997E-2</v>
      </c>
      <c r="DF124">
        <v>-2.9074614999999998E-3</v>
      </c>
      <c r="DG124">
        <v>-0.112426125</v>
      </c>
      <c r="DH124">
        <v>-6.3642320000000002E-2</v>
      </c>
      <c r="DI124">
        <v>-5.0061867000000003E-2</v>
      </c>
      <c r="DJ124">
        <v>-6.835774E-2</v>
      </c>
      <c r="DK124">
        <v>0.31202226999999999</v>
      </c>
      <c r="DL124">
        <v>4.3467723E-2</v>
      </c>
      <c r="DM124">
        <v>-3.9554100000000002E-2</v>
      </c>
      <c r="DN124">
        <v>0.18954393</v>
      </c>
      <c r="DO124">
        <v>-0.17520474</v>
      </c>
      <c r="DP124">
        <v>-9.1255130000000004E-2</v>
      </c>
      <c r="DQ124">
        <v>0.25016323000000001</v>
      </c>
      <c r="DR124">
        <v>-0.1302084</v>
      </c>
      <c r="DS124">
        <v>0.17518729999999999</v>
      </c>
      <c r="DT124">
        <v>-0.17339399999999999</v>
      </c>
      <c r="DU124">
        <v>-3.0802187000000002E-2</v>
      </c>
      <c r="DV124">
        <v>-0.15878680000000001</v>
      </c>
      <c r="DW124">
        <v>-0.16827573000000001</v>
      </c>
      <c r="DX124">
        <v>-0.11720382999999999</v>
      </c>
      <c r="DY124">
        <v>-5.5396176999999998E-2</v>
      </c>
      <c r="DZ124">
        <v>0.2858443</v>
      </c>
    </row>
    <row r="125" spans="1:130" x14ac:dyDescent="0.3">
      <c r="A125">
        <f>Board!$C$12</f>
        <v>0</v>
      </c>
      <c r="C125">
        <v>0.12616374</v>
      </c>
      <c r="D125">
        <v>0.10672566</v>
      </c>
      <c r="E125">
        <v>-2.506502E-2</v>
      </c>
      <c r="F125">
        <v>-0.22070840999999999</v>
      </c>
      <c r="G125">
        <v>0.20253057999999999</v>
      </c>
      <c r="H125">
        <v>7.924871E-2</v>
      </c>
      <c r="I125">
        <v>-0.21589442</v>
      </c>
      <c r="J125">
        <v>0.12417531</v>
      </c>
      <c r="K125">
        <v>-6.3147806000000001E-3</v>
      </c>
      <c r="L125">
        <v>0.24033214</v>
      </c>
      <c r="M125">
        <v>0.15055645000000001</v>
      </c>
      <c r="N125">
        <v>-4.8070080000000001E-2</v>
      </c>
      <c r="O125">
        <v>0.10879084</v>
      </c>
      <c r="P125">
        <v>-3.9872386000000003E-2</v>
      </c>
      <c r="Q125">
        <v>0.2169008</v>
      </c>
      <c r="R125">
        <v>-9.3023344999999993E-2</v>
      </c>
      <c r="S125">
        <v>-2.8994808E-2</v>
      </c>
      <c r="T125">
        <v>0.27475494</v>
      </c>
      <c r="U125">
        <v>-4.8159390000000003E-2</v>
      </c>
      <c r="V125">
        <v>0.14707643000000001</v>
      </c>
      <c r="W125">
        <v>0.30914056000000001</v>
      </c>
      <c r="X125">
        <v>-0.16963181999999999</v>
      </c>
      <c r="Y125">
        <v>4.2387175999999999E-2</v>
      </c>
      <c r="Z125">
        <v>-7.5486769999999995E-2</v>
      </c>
      <c r="AA125">
        <v>0.23834607999999999</v>
      </c>
      <c r="AB125">
        <v>0.13028176</v>
      </c>
      <c r="AC125">
        <v>-6.3147455000000005E-2</v>
      </c>
      <c r="AD125">
        <v>9.6237050000000005E-2</v>
      </c>
      <c r="AE125">
        <v>-7.8085790000000002E-2</v>
      </c>
      <c r="AF125">
        <v>-0.15991504000000001</v>
      </c>
      <c r="AG125">
        <v>-0.16002226999999999</v>
      </c>
      <c r="AH125">
        <v>7.3369039999999996E-2</v>
      </c>
      <c r="AI125">
        <v>3.8618100000000002E-2</v>
      </c>
      <c r="AJ125">
        <v>0.18366191000000001</v>
      </c>
      <c r="AK125">
        <v>-3.0597468999999999E-2</v>
      </c>
      <c r="AL125">
        <v>-6.1821077000000002E-2</v>
      </c>
      <c r="AM125">
        <v>-0.28306219999999999</v>
      </c>
      <c r="AN125">
        <v>2.4819152000000001E-2</v>
      </c>
      <c r="AO125">
        <v>0.16610237999999999</v>
      </c>
      <c r="AP125">
        <v>0.17286457</v>
      </c>
      <c r="AQ125">
        <v>-5.1613516999999998E-2</v>
      </c>
      <c r="AR125">
        <v>-0.22131086999999999</v>
      </c>
      <c r="AS125">
        <v>3.6041515000000001E-3</v>
      </c>
      <c r="AT125">
        <v>-0.11690315599999999</v>
      </c>
      <c r="AU125">
        <v>1.0425049E-2</v>
      </c>
      <c r="AV125">
        <v>-3.7461807999999998E-3</v>
      </c>
      <c r="AW125">
        <v>-5.3980943000000003E-2</v>
      </c>
      <c r="AX125">
        <v>-3.6924842999999999E-2</v>
      </c>
      <c r="AY125">
        <v>-0.10147809000000001</v>
      </c>
      <c r="AZ125">
        <v>0.14516878</v>
      </c>
      <c r="BA125">
        <v>0.1206079</v>
      </c>
      <c r="BB125">
        <v>0.10140354</v>
      </c>
      <c r="BC125">
        <v>-0.11219337</v>
      </c>
      <c r="BD125">
        <v>-1.1413651E-2</v>
      </c>
      <c r="BE125">
        <v>0.11462583</v>
      </c>
      <c r="BF125">
        <v>0.1065382</v>
      </c>
      <c r="BG125">
        <v>-0.40647854999999999</v>
      </c>
      <c r="BH125">
        <v>9.2423439999999996E-2</v>
      </c>
      <c r="BI125">
        <v>0.17777879999999999</v>
      </c>
      <c r="BJ125">
        <v>-0.31396368000000002</v>
      </c>
      <c r="BK125">
        <v>-4.7984819999999997E-2</v>
      </c>
      <c r="BL125">
        <v>7.1890770000000007E-2</v>
      </c>
      <c r="BM125">
        <v>0.26521035999999998</v>
      </c>
      <c r="BN125">
        <v>1.9190693000000002E-2</v>
      </c>
      <c r="BO125">
        <v>0.22357984</v>
      </c>
      <c r="BP125">
        <v>-0.14993234</v>
      </c>
      <c r="BQ125">
        <v>2.4462238000000001E-2</v>
      </c>
      <c r="BR125">
        <v>-2.898303E-2</v>
      </c>
      <c r="BS125">
        <v>0.11716708000000001</v>
      </c>
      <c r="BT125">
        <v>0.17147461999999999</v>
      </c>
      <c r="BU125">
        <v>-0.15679412000000001</v>
      </c>
      <c r="BV125">
        <v>9.0169170000000007E-2</v>
      </c>
      <c r="BW125">
        <v>0.15262534</v>
      </c>
      <c r="BX125">
        <v>-5.4757002999999999E-2</v>
      </c>
      <c r="BY125">
        <v>-6.1445800000000002E-2</v>
      </c>
      <c r="BZ125">
        <v>-1.7659811000000001E-2</v>
      </c>
      <c r="CA125">
        <v>1.3133145000000001E-2</v>
      </c>
      <c r="CB125">
        <v>-2.8217540999999999E-2</v>
      </c>
      <c r="CC125">
        <v>0.13370480000000001</v>
      </c>
      <c r="CD125">
        <v>0.16389993</v>
      </c>
      <c r="CE125">
        <v>-9.1357209999999994E-2</v>
      </c>
      <c r="CF125">
        <v>4.1808959999999999E-3</v>
      </c>
      <c r="CG125">
        <v>7.6934719999999998E-2</v>
      </c>
      <c r="CH125">
        <v>-8.0536750000000004E-2</v>
      </c>
      <c r="CI125">
        <v>0.16810553</v>
      </c>
      <c r="CJ125">
        <v>5.1394172000000002E-2</v>
      </c>
      <c r="CK125">
        <v>3.4240044999999997E-2</v>
      </c>
      <c r="CL125">
        <v>1.7934275999999999E-2</v>
      </c>
      <c r="CM125">
        <v>-9.3067300000000006E-2</v>
      </c>
      <c r="CN125">
        <v>0.40114504000000001</v>
      </c>
      <c r="CO125">
        <v>-9.3713656000000006E-2</v>
      </c>
      <c r="CP125">
        <v>-6.8703050000000002E-2</v>
      </c>
      <c r="CQ125">
        <v>1.6623309999999999E-2</v>
      </c>
      <c r="CR125">
        <v>-0.13754632999999999</v>
      </c>
      <c r="CS125">
        <v>0.13691692</v>
      </c>
      <c r="CT125">
        <v>0.14827182999999999</v>
      </c>
      <c r="CU125">
        <v>-6.7491925999999994E-2</v>
      </c>
      <c r="CV125">
        <v>4.6715315E-2</v>
      </c>
      <c r="CW125">
        <v>0.18321566</v>
      </c>
      <c r="CX125">
        <v>6.3851430000000001E-2</v>
      </c>
      <c r="CY125">
        <v>0.18155073999999999</v>
      </c>
      <c r="CZ125">
        <v>0.11057155</v>
      </c>
      <c r="DA125">
        <v>-0.15581382999999999</v>
      </c>
      <c r="DB125">
        <v>0.28035185000000001</v>
      </c>
      <c r="DC125">
        <v>8.1575595000000001E-2</v>
      </c>
      <c r="DD125">
        <v>6.0976985999999997E-2</v>
      </c>
      <c r="DE125">
        <v>0.19353229999999999</v>
      </c>
      <c r="DF125">
        <v>-0.17185487999999999</v>
      </c>
      <c r="DG125">
        <v>1.491784E-2</v>
      </c>
      <c r="DH125">
        <v>-3.5236302999999997E-2</v>
      </c>
      <c r="DI125">
        <v>-0.10818954</v>
      </c>
      <c r="DJ125">
        <v>-0.10099643</v>
      </c>
      <c r="DK125">
        <v>0.10776973500000001</v>
      </c>
      <c r="DL125">
        <v>2.7293127E-3</v>
      </c>
      <c r="DM125">
        <v>-0.18761427999999999</v>
      </c>
      <c r="DN125">
        <v>6.6075120000000001E-2</v>
      </c>
      <c r="DO125">
        <v>-0.13651714000000001</v>
      </c>
      <c r="DP125">
        <v>-0.35962692000000002</v>
      </c>
      <c r="DQ125">
        <v>0.19316955999999999</v>
      </c>
      <c r="DR125">
        <v>-9.0885474999999993E-2</v>
      </c>
      <c r="DS125">
        <v>-2.6822733000000001E-2</v>
      </c>
      <c r="DT125">
        <v>-7.9719269999999995E-2</v>
      </c>
      <c r="DU125">
        <v>-1.0301443E-2</v>
      </c>
      <c r="DV125">
        <v>2.5011864000000002E-2</v>
      </c>
      <c r="DW125">
        <v>-0.34364467999999998</v>
      </c>
      <c r="DX125">
        <v>4.0978430000000003E-2</v>
      </c>
      <c r="DY125">
        <v>-9.6165340000000002E-2</v>
      </c>
      <c r="DZ125">
        <v>0.27587324000000002</v>
      </c>
    </row>
    <row r="126" spans="1:130" x14ac:dyDescent="0.3">
      <c r="A126">
        <f>Board!$D$12</f>
        <v>0</v>
      </c>
      <c r="C126">
        <v>0.29192040000000002</v>
      </c>
      <c r="D126">
        <v>-7.0473350000000004E-2</v>
      </c>
      <c r="E126">
        <v>1.0997873999999999E-2</v>
      </c>
      <c r="F126">
        <v>-0.31689158000000001</v>
      </c>
      <c r="G126">
        <v>7.0643750000000005E-2</v>
      </c>
      <c r="H126">
        <v>0.13962483000000001</v>
      </c>
      <c r="I126">
        <v>-0.14585848000000001</v>
      </c>
      <c r="J126">
        <v>0.1262567</v>
      </c>
      <c r="K126">
        <v>-0.14938267</v>
      </c>
      <c r="L126">
        <v>0.12113242</v>
      </c>
      <c r="M126">
        <v>6.1595596000000002E-2</v>
      </c>
      <c r="N126">
        <v>-3.2298472000000002E-3</v>
      </c>
      <c r="O126">
        <v>0.16638227999999999</v>
      </c>
      <c r="P126">
        <v>-9.1938290000000006E-2</v>
      </c>
      <c r="Q126">
        <v>0.22789195000000001</v>
      </c>
      <c r="R126">
        <v>-0.10884496</v>
      </c>
      <c r="S126">
        <v>-9.6571989999999996E-2</v>
      </c>
      <c r="T126">
        <v>0.14614353999999999</v>
      </c>
      <c r="U126">
        <v>-9.9392939999999999E-2</v>
      </c>
      <c r="V126">
        <v>-1.8333116999999999E-2</v>
      </c>
      <c r="W126">
        <v>0.35013068000000003</v>
      </c>
      <c r="X126">
        <v>-2.7129382E-2</v>
      </c>
      <c r="Y126">
        <v>5.2137583000000001E-2</v>
      </c>
      <c r="Z126">
        <v>-0.15925610000000001</v>
      </c>
      <c r="AA126">
        <v>0.29229749999999999</v>
      </c>
      <c r="AB126">
        <v>2.7744459999999999E-3</v>
      </c>
      <c r="AC126">
        <v>2.5794348000000002E-2</v>
      </c>
      <c r="AD126">
        <v>0.16488811</v>
      </c>
      <c r="AE126">
        <v>-0.18185079000000001</v>
      </c>
      <c r="AF126">
        <v>-0.54584396000000002</v>
      </c>
      <c r="AG126">
        <v>-2.6957056999999999E-3</v>
      </c>
      <c r="AH126">
        <v>-0.16975993</v>
      </c>
      <c r="AI126">
        <v>0.33473175999999999</v>
      </c>
      <c r="AJ126">
        <v>1.561368E-2</v>
      </c>
      <c r="AK126">
        <v>0.10960161</v>
      </c>
      <c r="AL126">
        <v>4.5421254000000001E-2</v>
      </c>
      <c r="AM126">
        <v>-0.2506215</v>
      </c>
      <c r="AN126">
        <v>0.21999234000000001</v>
      </c>
      <c r="AO126">
        <v>0.20281083999999999</v>
      </c>
      <c r="AP126">
        <v>-0.36942409999999998</v>
      </c>
      <c r="AQ126">
        <v>-2.6188395999999999E-2</v>
      </c>
      <c r="AR126">
        <v>-0.115915015</v>
      </c>
      <c r="AS126">
        <v>8.4528179999999994E-2</v>
      </c>
      <c r="AT126">
        <v>6.7836659999999993E-2</v>
      </c>
      <c r="AU126">
        <v>3.633898E-2</v>
      </c>
      <c r="AV126">
        <v>0.33462431999999998</v>
      </c>
      <c r="AW126">
        <v>-0.12952524000000001</v>
      </c>
      <c r="AX126">
        <v>0.19653027000000001</v>
      </c>
      <c r="AY126">
        <v>-2.9351105999999998E-2</v>
      </c>
      <c r="AZ126">
        <v>0.20864435000000001</v>
      </c>
      <c r="BA126">
        <v>3.5989699999999999E-2</v>
      </c>
      <c r="BB126">
        <v>1.7884250000000001E-2</v>
      </c>
      <c r="BC126">
        <v>-0.17860448000000001</v>
      </c>
      <c r="BD126">
        <v>-0.17091201</v>
      </c>
      <c r="BE126">
        <v>7.8439884000000001E-2</v>
      </c>
      <c r="BF126">
        <v>-1.1983719E-2</v>
      </c>
      <c r="BG126">
        <v>-0.39658389999999999</v>
      </c>
      <c r="BH126">
        <v>-0.1066189</v>
      </c>
      <c r="BI126">
        <v>-2.5168297999999999E-2</v>
      </c>
      <c r="BJ126">
        <v>-0.47924804999999998</v>
      </c>
      <c r="BK126">
        <v>5.7519969999999997E-2</v>
      </c>
      <c r="BL126">
        <v>-0.16298492000000001</v>
      </c>
      <c r="BM126">
        <v>0.16803876000000001</v>
      </c>
      <c r="BN126">
        <v>7.6034635000000003E-2</v>
      </c>
      <c r="BO126">
        <v>-0.24443665000000001</v>
      </c>
      <c r="BP126">
        <v>-2.4808861000000001E-2</v>
      </c>
      <c r="BQ126">
        <v>-0.17489213000000001</v>
      </c>
      <c r="BR126">
        <v>3.363932E-2</v>
      </c>
      <c r="BS126">
        <v>7.1313130000000002E-2</v>
      </c>
      <c r="BT126">
        <v>4.251783E-2</v>
      </c>
      <c r="BU126">
        <v>-0.17542112000000001</v>
      </c>
      <c r="BV126">
        <v>-0.25855017000000002</v>
      </c>
      <c r="BW126">
        <v>-0.12097786000000001</v>
      </c>
      <c r="BX126">
        <v>-1.0435307E-2</v>
      </c>
      <c r="BY126">
        <v>-6.7698179999999997E-2</v>
      </c>
      <c r="BZ126">
        <v>0.13567889</v>
      </c>
      <c r="CA126">
        <v>0.25120002000000002</v>
      </c>
      <c r="CB126">
        <v>-4.8893020000000002E-2</v>
      </c>
      <c r="CC126">
        <v>-0.113341555</v>
      </c>
      <c r="CD126">
        <v>0.23513961</v>
      </c>
      <c r="CE126">
        <v>-0.34250482999999998</v>
      </c>
      <c r="CF126">
        <v>-0.17729789000000001</v>
      </c>
      <c r="CG126">
        <v>0.24853958000000001</v>
      </c>
      <c r="CH126">
        <v>-0.28387097</v>
      </c>
      <c r="CI126">
        <v>0.12175061600000001</v>
      </c>
      <c r="CJ126">
        <v>0.11372048</v>
      </c>
      <c r="CK126">
        <v>-7.5110780000000002E-2</v>
      </c>
      <c r="CL126">
        <v>-0.12427124000000001</v>
      </c>
      <c r="CM126">
        <v>3.7432703999999997E-2</v>
      </c>
      <c r="CN126">
        <v>0.1890849</v>
      </c>
      <c r="CO126">
        <v>-0.11649888</v>
      </c>
      <c r="CP126">
        <v>-0.25291184</v>
      </c>
      <c r="CQ126">
        <v>-8.3143755999999999E-2</v>
      </c>
      <c r="CR126">
        <v>-0.36631330000000001</v>
      </c>
      <c r="CS126">
        <v>0.21322541</v>
      </c>
      <c r="CT126">
        <v>0.14901354999999999</v>
      </c>
      <c r="CU126">
        <v>-0.16289856</v>
      </c>
      <c r="CV126">
        <v>4.7156761999999998E-2</v>
      </c>
      <c r="CW126">
        <v>0.18109053</v>
      </c>
      <c r="CX126">
        <v>8.8010884999999997E-2</v>
      </c>
      <c r="CY126">
        <v>0.12641052999999999</v>
      </c>
      <c r="CZ126">
        <v>0.19618541</v>
      </c>
      <c r="DA126">
        <v>-0.13934034000000001</v>
      </c>
      <c r="DB126">
        <v>-2.7169531E-2</v>
      </c>
      <c r="DC126">
        <v>-0.24233499</v>
      </c>
      <c r="DD126">
        <v>-0.12722944999999999</v>
      </c>
      <c r="DE126">
        <v>0.16319911000000001</v>
      </c>
      <c r="DF126">
        <v>-0.20213935999999999</v>
      </c>
      <c r="DG126">
        <v>3.1872995000000001E-2</v>
      </c>
      <c r="DH126">
        <v>-4.6839707000000001E-2</v>
      </c>
      <c r="DI126">
        <v>-0.18239363</v>
      </c>
      <c r="DJ126">
        <v>-3.784274E-2</v>
      </c>
      <c r="DK126">
        <v>4.452304E-2</v>
      </c>
      <c r="DL126">
        <v>-2.4371553000000001E-2</v>
      </c>
      <c r="DM126">
        <v>-0.28904000000000002</v>
      </c>
      <c r="DN126">
        <v>0.11783305600000001</v>
      </c>
      <c r="DO126">
        <v>2.7631562999999998E-3</v>
      </c>
      <c r="DP126">
        <v>-0.23749232000000001</v>
      </c>
      <c r="DQ126">
        <v>9.8832569999999995E-2</v>
      </c>
      <c r="DR126">
        <v>-0.1315327</v>
      </c>
      <c r="DS126">
        <v>0.10208919</v>
      </c>
      <c r="DT126">
        <v>0.11409319</v>
      </c>
      <c r="DU126">
        <v>-0.13056996000000001</v>
      </c>
      <c r="DV126">
        <v>0.11808949000000001</v>
      </c>
      <c r="DW126">
        <v>-0.16618572000000001</v>
      </c>
      <c r="DX126">
        <v>0.28489026000000001</v>
      </c>
      <c r="DY126">
        <v>-9.4248589999999993E-2</v>
      </c>
      <c r="DZ126">
        <v>3.2765860000000002E-3</v>
      </c>
    </row>
    <row r="127" spans="1:130" x14ac:dyDescent="0.3">
      <c r="A127">
        <f>Board!$E$12</f>
        <v>0</v>
      </c>
      <c r="C127">
        <v>0.16519201</v>
      </c>
      <c r="D127">
        <v>0.17492284999999999</v>
      </c>
      <c r="E127">
        <v>-3.2361210000000001E-2</v>
      </c>
      <c r="F127">
        <v>-0.37844761999999998</v>
      </c>
      <c r="G127">
        <v>0.29065496000000002</v>
      </c>
      <c r="H127">
        <v>7.6383545999999997E-2</v>
      </c>
      <c r="I127">
        <v>5.6994959999999997E-2</v>
      </c>
      <c r="J127">
        <v>0.1917084</v>
      </c>
      <c r="K127">
        <v>-5.6441924999999997E-2</v>
      </c>
      <c r="L127">
        <v>0.26351340000000001</v>
      </c>
      <c r="M127">
        <v>0.19213491999999999</v>
      </c>
      <c r="N127">
        <v>-6.5761200000000006E-2</v>
      </c>
      <c r="O127">
        <v>-0.12539607</v>
      </c>
      <c r="P127">
        <v>8.4458335999999995E-2</v>
      </c>
      <c r="Q127">
        <v>8.1528929999999999E-2</v>
      </c>
      <c r="R127">
        <v>0.11432795</v>
      </c>
      <c r="S127">
        <v>7.6284690000000002E-2</v>
      </c>
      <c r="T127">
        <v>0.19444897999999999</v>
      </c>
      <c r="U127">
        <v>-0.27087480000000003</v>
      </c>
      <c r="V127">
        <v>-0.22987816</v>
      </c>
      <c r="W127">
        <v>0.3264975</v>
      </c>
      <c r="X127">
        <v>0.14809546000000001</v>
      </c>
      <c r="Y127">
        <v>0.15443519</v>
      </c>
      <c r="Z127">
        <v>0.21703818</v>
      </c>
      <c r="AA127">
        <v>0.18160470000000001</v>
      </c>
      <c r="AB127">
        <v>9.5146700000000001E-2</v>
      </c>
      <c r="AC127">
        <v>-6.6276210000000002E-2</v>
      </c>
      <c r="AD127">
        <v>8.0971810000000005E-2</v>
      </c>
      <c r="AE127">
        <v>0.20197532000000001</v>
      </c>
      <c r="AF127">
        <v>-0.36916539999999998</v>
      </c>
      <c r="AG127">
        <v>2.7107945000000001E-2</v>
      </c>
      <c r="AH127">
        <v>-0.16810289</v>
      </c>
      <c r="AI127">
        <v>0.18811695</v>
      </c>
      <c r="AJ127">
        <v>0.10850977000000001</v>
      </c>
      <c r="AK127">
        <v>-2.1229431E-2</v>
      </c>
      <c r="AL127">
        <v>-1.1276181E-2</v>
      </c>
      <c r="AM127">
        <v>-5.8274462999999999E-2</v>
      </c>
      <c r="AN127">
        <v>-9.1190149999999998E-2</v>
      </c>
      <c r="AO127">
        <v>7.3631845000000001E-2</v>
      </c>
      <c r="AP127">
        <v>-0.33616269999999998</v>
      </c>
      <c r="AQ127">
        <v>0.20727930999999999</v>
      </c>
      <c r="AR127">
        <v>2.8182918000000001E-2</v>
      </c>
      <c r="AS127">
        <v>5.6279999999999997E-2</v>
      </c>
      <c r="AT127">
        <v>0.16617303</v>
      </c>
      <c r="AU127">
        <v>-4.6252713000000001E-2</v>
      </c>
      <c r="AV127">
        <v>0.16154241999999999</v>
      </c>
      <c r="AW127">
        <v>-2.9642953999999999E-2</v>
      </c>
      <c r="AX127">
        <v>-3.0769352E-2</v>
      </c>
      <c r="AY127">
        <v>0.18990514999999999</v>
      </c>
      <c r="AZ127">
        <v>1.4375550000000001E-2</v>
      </c>
      <c r="BA127">
        <v>-9.7575079999999995E-2</v>
      </c>
      <c r="BB127">
        <v>-6.0733885000000001E-2</v>
      </c>
      <c r="BC127">
        <v>2.7403133E-2</v>
      </c>
      <c r="BD127">
        <v>8.3028580000000005E-2</v>
      </c>
      <c r="BE127">
        <v>-8.9060046000000004E-2</v>
      </c>
      <c r="BF127">
        <v>0.18184710000000001</v>
      </c>
      <c r="BG127">
        <v>-2.5744072999999999E-2</v>
      </c>
      <c r="BH127">
        <v>3.8174856E-2</v>
      </c>
      <c r="BI127">
        <v>7.0778460000000001E-2</v>
      </c>
      <c r="BJ127">
        <v>-0.14206609000000001</v>
      </c>
      <c r="BK127">
        <v>6.849645E-2</v>
      </c>
      <c r="BL127">
        <v>-3.3737290000000003E-2</v>
      </c>
      <c r="BM127">
        <v>0.26432879999999997</v>
      </c>
      <c r="BN127">
        <v>-5.2116740000000002E-2</v>
      </c>
      <c r="BO127">
        <v>-0.24811535000000001</v>
      </c>
      <c r="BP127">
        <v>0.100115485</v>
      </c>
      <c r="BQ127">
        <v>4.2372010000000003E-3</v>
      </c>
      <c r="BR127">
        <v>2.0371210000000001E-2</v>
      </c>
      <c r="BS127">
        <v>-5.3193107000000003E-2</v>
      </c>
      <c r="BT127">
        <v>0.29224729999999999</v>
      </c>
      <c r="BU127">
        <v>-7.8910339999999995E-2</v>
      </c>
      <c r="BV127">
        <v>-0.26442215000000002</v>
      </c>
      <c r="BW127">
        <v>2.316197E-2</v>
      </c>
      <c r="BX127">
        <v>-3.1677312000000001E-3</v>
      </c>
      <c r="BY127">
        <v>0.18303733999999999</v>
      </c>
      <c r="BZ127">
        <v>-3.8584939999999998E-2</v>
      </c>
      <c r="CA127">
        <v>0.14484705</v>
      </c>
      <c r="CB127">
        <v>3.5457040000000002E-2</v>
      </c>
      <c r="CC127">
        <v>-0.12258659</v>
      </c>
      <c r="CD127">
        <v>6.9891439999999999E-2</v>
      </c>
      <c r="CE127">
        <v>-0.15089501</v>
      </c>
      <c r="CF127">
        <v>1.2429442000000001E-2</v>
      </c>
      <c r="CG127">
        <v>-6.3421843000000004E-3</v>
      </c>
      <c r="CH127">
        <v>-0.23175545</v>
      </c>
      <c r="CI127">
        <v>1.3668866E-2</v>
      </c>
      <c r="CJ127">
        <v>2.7172673000000001E-2</v>
      </c>
      <c r="CK127">
        <v>-0.11165688999999999</v>
      </c>
      <c r="CL127">
        <v>-0.13909125</v>
      </c>
      <c r="CM127">
        <v>-2.5910458000000001E-2</v>
      </c>
      <c r="CN127">
        <v>0.19946554</v>
      </c>
      <c r="CO127">
        <v>0.12212885</v>
      </c>
      <c r="CP127">
        <v>-0.63524970000000003</v>
      </c>
      <c r="CQ127">
        <v>8.8062756000000006E-2</v>
      </c>
      <c r="CR127">
        <v>-0.18730337999999999</v>
      </c>
      <c r="CS127">
        <v>-5.2561916E-2</v>
      </c>
      <c r="CT127">
        <v>0.27784442999999998</v>
      </c>
      <c r="CU127">
        <v>-3.9599009999999997E-2</v>
      </c>
      <c r="CV127">
        <v>-0.111238</v>
      </c>
      <c r="CW127">
        <v>0.23079189999999999</v>
      </c>
      <c r="CX127">
        <v>0.23574208999999999</v>
      </c>
      <c r="CY127">
        <v>-2.3445621E-2</v>
      </c>
      <c r="CZ127">
        <v>0.1206552</v>
      </c>
      <c r="DA127">
        <v>1.5417205E-2</v>
      </c>
      <c r="DB127">
        <v>-1.9829089000000001E-2</v>
      </c>
      <c r="DC127">
        <v>-0.24071983</v>
      </c>
      <c r="DD127">
        <v>5.2289199999999995E-4</v>
      </c>
      <c r="DE127">
        <v>0.20718755999999999</v>
      </c>
      <c r="DF127">
        <v>-0.24568435999999999</v>
      </c>
      <c r="DG127">
        <v>5.5549910000000001E-2</v>
      </c>
      <c r="DH127">
        <v>-0.10453266</v>
      </c>
      <c r="DI127">
        <v>-7.2310490000000005E-2</v>
      </c>
      <c r="DJ127">
        <v>9.9502099999999993E-3</v>
      </c>
      <c r="DK127">
        <v>0.12727089</v>
      </c>
      <c r="DL127">
        <v>-0.10925227999999999</v>
      </c>
      <c r="DM127">
        <v>-9.9189879999999994E-2</v>
      </c>
      <c r="DN127">
        <v>0.24712609999999999</v>
      </c>
      <c r="DO127">
        <v>0.10354969</v>
      </c>
      <c r="DP127">
        <v>3.7617020000000001E-2</v>
      </c>
      <c r="DQ127">
        <v>0.1180528</v>
      </c>
      <c r="DR127">
        <v>-0.33432499999999998</v>
      </c>
      <c r="DS127">
        <v>0.13762097000000001</v>
      </c>
      <c r="DT127">
        <v>6.0742020000000001E-2</v>
      </c>
      <c r="DU127">
        <v>-0.16989580000000001</v>
      </c>
      <c r="DV127">
        <v>0.1717562</v>
      </c>
      <c r="DW127">
        <v>-4.3135837000000003E-2</v>
      </c>
      <c r="DX127">
        <v>-2.1192242999999999E-2</v>
      </c>
      <c r="DY127">
        <v>-0.14534929999999999</v>
      </c>
      <c r="DZ127">
        <v>8.5429140000000001E-2</v>
      </c>
    </row>
    <row r="128" spans="1:130" x14ac:dyDescent="0.3">
      <c r="A128">
        <f>Board!$F$12</f>
        <v>0</v>
      </c>
      <c r="C128">
        <v>0.13859904000000001</v>
      </c>
      <c r="D128">
        <v>0.21211725000000001</v>
      </c>
      <c r="E128">
        <v>-0.23862067000000001</v>
      </c>
      <c r="F128">
        <v>-0.47275537000000001</v>
      </c>
      <c r="G128">
        <v>0.16791318</v>
      </c>
      <c r="H128">
        <v>4.6933244999999998E-2</v>
      </c>
      <c r="I128">
        <v>0.1403393</v>
      </c>
      <c r="J128">
        <v>0.11843479</v>
      </c>
      <c r="K128">
        <v>0.11721731000000001</v>
      </c>
      <c r="L128">
        <v>8.5682170000000002E-2</v>
      </c>
      <c r="M128">
        <v>0.25982565000000002</v>
      </c>
      <c r="N128">
        <v>-3.8487893000000002E-2</v>
      </c>
      <c r="O128">
        <v>-0.20883394999999999</v>
      </c>
      <c r="P128">
        <v>0.17332448</v>
      </c>
      <c r="Q128">
        <v>-5.0806160000000003E-2</v>
      </c>
      <c r="R128">
        <v>0.22880216</v>
      </c>
      <c r="S128">
        <v>0.24699523000000001</v>
      </c>
      <c r="T128">
        <v>5.2126177000000003E-2</v>
      </c>
      <c r="U128">
        <v>-0.20547988</v>
      </c>
      <c r="V128">
        <v>-0.18389484</v>
      </c>
      <c r="W128">
        <v>0.28340880000000002</v>
      </c>
      <c r="X128">
        <v>-4.8607450000000003E-2</v>
      </c>
      <c r="Y128">
        <v>7.6825054999999998E-3</v>
      </c>
      <c r="Z128">
        <v>1.979129E-2</v>
      </c>
      <c r="AA128">
        <v>0.25306260000000003</v>
      </c>
      <c r="AB128">
        <v>-7.1257695999999995E-2</v>
      </c>
      <c r="AC128">
        <v>4.9503725000000004E-3</v>
      </c>
      <c r="AD128">
        <v>-3.8957684999999999E-2</v>
      </c>
      <c r="AE128">
        <v>0.26150927000000002</v>
      </c>
      <c r="AF128">
        <v>-0.102949016</v>
      </c>
      <c r="AG128">
        <v>8.7925920000000005E-2</v>
      </c>
      <c r="AH128">
        <v>-0.2662293</v>
      </c>
      <c r="AI128">
        <v>-0.10581633</v>
      </c>
      <c r="AJ128">
        <v>2.7804196E-2</v>
      </c>
      <c r="AK128">
        <v>-0.25630893999999999</v>
      </c>
      <c r="AL128">
        <v>-6.8061330000000003E-2</v>
      </c>
      <c r="AM128">
        <v>-8.2074930000000004E-2</v>
      </c>
      <c r="AN128">
        <v>6.3033519999999996E-2</v>
      </c>
      <c r="AO128">
        <v>0.154392</v>
      </c>
      <c r="AP128">
        <v>-0.17943817000000001</v>
      </c>
      <c r="AQ128">
        <v>1.3477071000000001E-3</v>
      </c>
      <c r="AR128">
        <v>2.9127982E-2</v>
      </c>
      <c r="AS128">
        <v>0.110577516</v>
      </c>
      <c r="AT128">
        <v>0.14455190000000001</v>
      </c>
      <c r="AU128">
        <v>8.0190030000000002E-3</v>
      </c>
      <c r="AV128">
        <v>0.15378061000000001</v>
      </c>
      <c r="AW128">
        <v>6.1375443000000002E-2</v>
      </c>
      <c r="AX128">
        <v>6.4666399999999999E-2</v>
      </c>
      <c r="AY128">
        <v>-2.8661974E-2</v>
      </c>
      <c r="AZ128">
        <v>0.12188941</v>
      </c>
      <c r="BA128">
        <v>7.1779880000000004E-2</v>
      </c>
      <c r="BB128">
        <v>-6.2234797000000001E-2</v>
      </c>
      <c r="BC128">
        <v>7.2649389999999994E-2</v>
      </c>
      <c r="BD128">
        <v>0.22151841</v>
      </c>
      <c r="BE128">
        <v>-1.8923549000000001E-2</v>
      </c>
      <c r="BF128">
        <v>8.5518620000000004E-2</v>
      </c>
      <c r="BG128">
        <v>8.3641629999999998E-4</v>
      </c>
      <c r="BH128">
        <v>-4.1001137E-2</v>
      </c>
      <c r="BI128">
        <v>-2.1456642000000001E-2</v>
      </c>
      <c r="BJ128">
        <v>-3.9212999999999998E-2</v>
      </c>
      <c r="BK128">
        <v>0.16463860999999999</v>
      </c>
      <c r="BL128">
        <v>-0.10681962</v>
      </c>
      <c r="BM128">
        <v>0.28337747000000002</v>
      </c>
      <c r="BN128">
        <v>9.9981719999999996E-2</v>
      </c>
      <c r="BO128">
        <v>6.5801890000000002E-2</v>
      </c>
      <c r="BP128">
        <v>8.1520826000000005E-2</v>
      </c>
      <c r="BQ128">
        <v>2.0793602000000001E-2</v>
      </c>
      <c r="BR128">
        <v>0.17829326000000001</v>
      </c>
      <c r="BS128">
        <v>-8.545202E-3</v>
      </c>
      <c r="BT128">
        <v>0.15817824999999999</v>
      </c>
      <c r="BU128">
        <v>-7.1499969999999996E-2</v>
      </c>
      <c r="BV128">
        <v>-0.21530887000000001</v>
      </c>
      <c r="BW128">
        <v>-2.8963610000000001E-2</v>
      </c>
      <c r="BX128">
        <v>-4.7338739999999997E-2</v>
      </c>
      <c r="BY128">
        <v>0.23663352000000001</v>
      </c>
      <c r="BZ128">
        <v>0.19221593000000001</v>
      </c>
      <c r="CA128">
        <v>0.14013167000000001</v>
      </c>
      <c r="CB128">
        <v>9.3050519999999998E-2</v>
      </c>
      <c r="CC128">
        <v>8.3464640000000007E-2</v>
      </c>
      <c r="CD128">
        <v>0.12420604</v>
      </c>
      <c r="CE128">
        <v>-6.7174196000000005E-2</v>
      </c>
      <c r="CF128">
        <v>-0.19354811</v>
      </c>
      <c r="CG128">
        <v>6.889778E-3</v>
      </c>
      <c r="CH128">
        <v>-0.14444824000000001</v>
      </c>
      <c r="CI128">
        <v>5.8301743000000003E-2</v>
      </c>
      <c r="CJ128">
        <v>-6.400459E-2</v>
      </c>
      <c r="CK128">
        <v>0.14323246000000001</v>
      </c>
      <c r="CL128">
        <v>6.3731869999999996E-2</v>
      </c>
      <c r="CM128">
        <v>-0.15227178999999999</v>
      </c>
      <c r="CN128">
        <v>5.0388693999999998E-2</v>
      </c>
      <c r="CO128">
        <v>-5.2080954999999998E-2</v>
      </c>
      <c r="CP128">
        <v>-0.60249715999999998</v>
      </c>
      <c r="CQ128">
        <v>-5.0947382999999999E-2</v>
      </c>
      <c r="CR128">
        <v>-7.5310594999999994E-2</v>
      </c>
      <c r="CS128">
        <v>5.8119230000000001E-2</v>
      </c>
      <c r="CT128">
        <v>0.32400583999999999</v>
      </c>
      <c r="CU128">
        <v>6.2160782999999997E-2</v>
      </c>
      <c r="CV128">
        <v>-6.7976183999999995E-2</v>
      </c>
      <c r="CW128">
        <v>0.18968235</v>
      </c>
      <c r="CX128">
        <v>9.3845509999999997E-3</v>
      </c>
      <c r="CY128">
        <v>2.1673393999999999E-2</v>
      </c>
      <c r="CZ128">
        <v>9.7598859999999996E-2</v>
      </c>
      <c r="DA128">
        <v>-3.7873422E-3</v>
      </c>
      <c r="DB128">
        <v>4.3616443999999997E-2</v>
      </c>
      <c r="DC128">
        <v>-0.39108077000000002</v>
      </c>
      <c r="DD128">
        <v>4.3812994000000001E-2</v>
      </c>
      <c r="DE128">
        <v>0.24471496000000001</v>
      </c>
      <c r="DF128">
        <v>-0.15843942999999999</v>
      </c>
      <c r="DG128">
        <v>-0.22964181</v>
      </c>
      <c r="DH128">
        <v>-2.9910955999999999E-2</v>
      </c>
      <c r="DI128">
        <v>-0.10052318</v>
      </c>
      <c r="DJ128">
        <v>0.19675598</v>
      </c>
      <c r="DK128">
        <v>0.27376154000000003</v>
      </c>
      <c r="DL128">
        <v>-3.7728930000000001E-2</v>
      </c>
      <c r="DM128">
        <v>-3.2294067E-3</v>
      </c>
      <c r="DN128">
        <v>7.1815359999999995E-2</v>
      </c>
      <c r="DO128">
        <v>0.17711407000000001</v>
      </c>
      <c r="DP128">
        <v>0.11958914</v>
      </c>
      <c r="DQ128">
        <v>0.14675476000000001</v>
      </c>
      <c r="DR128">
        <v>-0.53544179999999997</v>
      </c>
      <c r="DS128">
        <v>0.16859479999999999</v>
      </c>
      <c r="DT128">
        <v>-0.12812124</v>
      </c>
      <c r="DU128">
        <v>-0.13484711999999999</v>
      </c>
      <c r="DV128">
        <v>0.21031535000000001</v>
      </c>
      <c r="DW128">
        <v>-8.6127170000000006E-3</v>
      </c>
      <c r="DX128">
        <v>-6.6836160000000006E-2</v>
      </c>
      <c r="DY128">
        <v>-0.13568153999999999</v>
      </c>
      <c r="DZ128">
        <v>0.22827700000000001</v>
      </c>
    </row>
    <row r="129" spans="1:130" x14ac:dyDescent="0.3">
      <c r="A129">
        <f>Board!$G$12</f>
        <v>1</v>
      </c>
      <c r="C129">
        <v>4.3869673999999997E-2</v>
      </c>
      <c r="D129">
        <v>0.13054337999999999</v>
      </c>
      <c r="E129">
        <v>-0.23753299</v>
      </c>
      <c r="F129">
        <v>-0.11121911</v>
      </c>
      <c r="G129">
        <v>0.14270878000000001</v>
      </c>
      <c r="H129">
        <v>0.21677015999999999</v>
      </c>
      <c r="I129">
        <v>0.10468961</v>
      </c>
      <c r="J129">
        <v>0.32093120000000003</v>
      </c>
      <c r="K129">
        <v>7.7663165999999999E-3</v>
      </c>
      <c r="L129">
        <v>0.16822575000000001</v>
      </c>
      <c r="M129">
        <v>0.13567892000000001</v>
      </c>
      <c r="N129">
        <v>-5.8246203000000003E-2</v>
      </c>
      <c r="O129">
        <v>0.14172557</v>
      </c>
      <c r="P129">
        <v>0.17069176</v>
      </c>
      <c r="Q129">
        <v>-7.5411095999999997E-2</v>
      </c>
      <c r="R129">
        <v>8.3395880000000006E-2</v>
      </c>
      <c r="S129">
        <v>-0.10571075000000001</v>
      </c>
      <c r="T129">
        <v>-7.9803936000000006E-2</v>
      </c>
      <c r="U129">
        <v>1.9750983E-2</v>
      </c>
      <c r="V129">
        <v>1.84888E-2</v>
      </c>
      <c r="W129">
        <v>0.15817850999999999</v>
      </c>
      <c r="X129">
        <v>-6.3263829999999993E-2</v>
      </c>
      <c r="Y129">
        <v>6.5940869999999999E-2</v>
      </c>
      <c r="Z129">
        <v>8.0792080000000002E-2</v>
      </c>
      <c r="AA129">
        <v>0.15325195999999999</v>
      </c>
      <c r="AB129">
        <v>-8.3645369999999997E-2</v>
      </c>
      <c r="AC129">
        <v>-4.9715160000000001E-2</v>
      </c>
      <c r="AD129">
        <v>0.15894742000000001</v>
      </c>
      <c r="AE129">
        <v>0.28584843999999998</v>
      </c>
      <c r="AF129">
        <v>2.9809802999999999E-2</v>
      </c>
      <c r="AG129">
        <v>-5.8999999999999997E-2</v>
      </c>
      <c r="AH129">
        <v>-0.27889006999999999</v>
      </c>
      <c r="AI129">
        <v>0.21541121999999999</v>
      </c>
      <c r="AJ129">
        <v>1.9275486000000001E-2</v>
      </c>
      <c r="AK129">
        <v>-0.1720949</v>
      </c>
      <c r="AL129">
        <v>9.2542424999999998E-2</v>
      </c>
      <c r="AM129">
        <v>-5.3956635000000003E-2</v>
      </c>
      <c r="AN129">
        <v>-2.0912854000000002E-2</v>
      </c>
      <c r="AO129">
        <v>-9.5207859999999998E-3</v>
      </c>
      <c r="AP129">
        <v>-6.8108279999999993E-2</v>
      </c>
      <c r="AQ129">
        <v>0.19056617000000001</v>
      </c>
      <c r="AR129">
        <v>0.22709033000000001</v>
      </c>
      <c r="AS129">
        <v>-4.2530129999999999E-2</v>
      </c>
      <c r="AT129">
        <v>0.1143049</v>
      </c>
      <c r="AU129">
        <v>0.30504559999999997</v>
      </c>
      <c r="AV129">
        <v>0.13454865999999999</v>
      </c>
      <c r="AW129">
        <v>0.21612719</v>
      </c>
      <c r="AX129">
        <v>0.19461402</v>
      </c>
      <c r="AY129">
        <v>-1.3278998000000001E-3</v>
      </c>
      <c r="AZ129">
        <v>-2.735071E-2</v>
      </c>
      <c r="BA129">
        <v>6.4242350000000004E-2</v>
      </c>
      <c r="BB129">
        <v>-0.15000701</v>
      </c>
      <c r="BC129">
        <v>0.10067203</v>
      </c>
      <c r="BD129">
        <v>0.22234835999999999</v>
      </c>
      <c r="BE129">
        <v>-7.2665623999999998E-2</v>
      </c>
      <c r="BF129">
        <v>0.17640620000000001</v>
      </c>
      <c r="BG129">
        <v>-0.10329758999999999</v>
      </c>
      <c r="BH129">
        <v>-0.20479548</v>
      </c>
      <c r="BI129">
        <v>0.15949131999999999</v>
      </c>
      <c r="BJ129">
        <v>9.1598680000000002E-2</v>
      </c>
      <c r="BK129">
        <v>-2.7720511E-2</v>
      </c>
      <c r="BL129">
        <v>5.6227684E-2</v>
      </c>
      <c r="BM129">
        <v>8.9328759999999993E-2</v>
      </c>
      <c r="BN129">
        <v>7.4837239999999999E-2</v>
      </c>
      <c r="BO129">
        <v>-0.13540472000000001</v>
      </c>
      <c r="BP129">
        <v>0.25046259999999998</v>
      </c>
      <c r="BQ129">
        <v>-2.9436502999999999E-2</v>
      </c>
      <c r="BR129">
        <v>0.42567076999999998</v>
      </c>
      <c r="BS129">
        <v>0.235315</v>
      </c>
      <c r="BT129">
        <v>0.1427283</v>
      </c>
      <c r="BU129">
        <v>0.14586884</v>
      </c>
      <c r="BV129">
        <v>1.1235953999999999E-2</v>
      </c>
      <c r="BW129">
        <v>6.2201953999999997E-2</v>
      </c>
      <c r="BX129">
        <v>6.3704060000000007E-2</v>
      </c>
      <c r="BY129">
        <v>0.17362296999999999</v>
      </c>
      <c r="BZ129">
        <v>0.12279158</v>
      </c>
      <c r="CA129">
        <v>9.5894430000000003E-2</v>
      </c>
      <c r="CB129">
        <v>0.13402873000000001</v>
      </c>
      <c r="CC129">
        <v>-8.2319959999999998E-2</v>
      </c>
      <c r="CD129">
        <v>-0.19049194</v>
      </c>
      <c r="CE129">
        <v>-7.8422986E-2</v>
      </c>
      <c r="CF129">
        <v>-0.26877830000000003</v>
      </c>
      <c r="CG129">
        <v>-0.12209364</v>
      </c>
      <c r="CH129">
        <v>4.9381220000000003E-2</v>
      </c>
      <c r="CI129">
        <v>-0.22902433999999999</v>
      </c>
      <c r="CJ129">
        <v>2.934281E-2</v>
      </c>
      <c r="CK129">
        <v>0.14175668</v>
      </c>
      <c r="CL129">
        <v>0.10886654</v>
      </c>
      <c r="CM129">
        <v>-0.3239476</v>
      </c>
      <c r="CN129">
        <v>6.9749469999999996E-3</v>
      </c>
      <c r="CO129">
        <v>-5.0331830000000001E-2</v>
      </c>
      <c r="CP129">
        <v>-0.24712582</v>
      </c>
      <c r="CQ129">
        <v>-7.0186175000000003E-2</v>
      </c>
      <c r="CR129">
        <v>-0.13228154</v>
      </c>
      <c r="CS129">
        <v>5.2512179999999999E-2</v>
      </c>
      <c r="CT129">
        <v>0.19624732</v>
      </c>
      <c r="CU129">
        <v>-3.0126457999999998E-2</v>
      </c>
      <c r="CV129">
        <v>5.9101559999999997E-2</v>
      </c>
      <c r="CW129">
        <v>9.3027286000000001E-2</v>
      </c>
      <c r="CX129">
        <v>0.12872417</v>
      </c>
      <c r="CY129">
        <v>-4.6866316999999999E-3</v>
      </c>
      <c r="CZ129">
        <v>7.0014080000000006E-2</v>
      </c>
      <c r="DA129">
        <v>8.3362199999999997E-2</v>
      </c>
      <c r="DB129">
        <v>6.2330093000000003E-2</v>
      </c>
      <c r="DC129">
        <v>-0.16139665</v>
      </c>
      <c r="DD129">
        <v>0.19030764999999999</v>
      </c>
      <c r="DE129">
        <v>0.12139258999999999</v>
      </c>
      <c r="DF129">
        <v>-1.8534287999999999E-2</v>
      </c>
      <c r="DG129">
        <v>-0.20848504000000001</v>
      </c>
      <c r="DH129">
        <v>4.9895540000000002E-2</v>
      </c>
      <c r="DI129">
        <v>0.20497050999999999</v>
      </c>
      <c r="DJ129">
        <v>6.9680855E-2</v>
      </c>
      <c r="DK129">
        <v>0.10668619999999999</v>
      </c>
      <c r="DL129">
        <v>4.5810785E-2</v>
      </c>
      <c r="DM129">
        <v>0.14388882</v>
      </c>
      <c r="DN129">
        <v>1.6395198E-2</v>
      </c>
      <c r="DO129">
        <v>6.3646229999999998E-2</v>
      </c>
      <c r="DP129">
        <v>2.3231747000000001E-2</v>
      </c>
      <c r="DQ129">
        <v>0.23122665000000001</v>
      </c>
      <c r="DR129">
        <v>-0.33314705</v>
      </c>
      <c r="DS129">
        <v>3.6481052999999999E-2</v>
      </c>
      <c r="DT129">
        <v>8.0953479999999994E-2</v>
      </c>
      <c r="DU129">
        <v>0.18879654000000001</v>
      </c>
      <c r="DV129">
        <v>0.11542719999999999</v>
      </c>
      <c r="DW129">
        <v>-0.124197505</v>
      </c>
      <c r="DX129">
        <v>0.12441649</v>
      </c>
      <c r="DY129">
        <v>-7.1787803999999997E-2</v>
      </c>
      <c r="DZ129">
        <v>9.140065E-2</v>
      </c>
    </row>
    <row r="130" spans="1:130" x14ac:dyDescent="0.3">
      <c r="A130">
        <f>Board!$H$12</f>
        <v>1</v>
      </c>
      <c r="C130">
        <v>-0.15181537000000001</v>
      </c>
      <c r="D130">
        <v>0.11888997</v>
      </c>
      <c r="E130">
        <v>0.15078364</v>
      </c>
      <c r="F130">
        <v>0.12205711</v>
      </c>
      <c r="G130">
        <v>2.9010283000000001E-2</v>
      </c>
      <c r="H130">
        <v>0.13826432999999999</v>
      </c>
      <c r="I130">
        <v>0.19767356999999999</v>
      </c>
      <c r="J130">
        <v>0.43317496999999999</v>
      </c>
      <c r="K130">
        <v>2.2315543E-2</v>
      </c>
      <c r="L130">
        <v>0.14565610000000001</v>
      </c>
      <c r="M130">
        <v>0.12394048000000001</v>
      </c>
      <c r="N130">
        <v>-5.4222837000000003E-2</v>
      </c>
      <c r="O130">
        <v>-6.1547197000000001E-3</v>
      </c>
      <c r="P130">
        <v>8.5131769999999996E-2</v>
      </c>
      <c r="Q130">
        <v>-1.6927620000000001E-2</v>
      </c>
      <c r="R130">
        <v>-5.9344754E-2</v>
      </c>
      <c r="S130">
        <v>2.2105980000000001E-2</v>
      </c>
      <c r="T130">
        <v>0.23958705</v>
      </c>
      <c r="U130">
        <v>9.2292025999999999E-2</v>
      </c>
      <c r="V130">
        <v>0.110823296</v>
      </c>
      <c r="W130">
        <v>0.27679090000000001</v>
      </c>
      <c r="X130">
        <v>-5.5251583E-2</v>
      </c>
      <c r="Y130">
        <v>-0.28766647000000001</v>
      </c>
      <c r="Z130">
        <v>-8.8324849999999993E-3</v>
      </c>
      <c r="AA130">
        <v>0.14561859999999999</v>
      </c>
      <c r="AB130">
        <v>-2.2106756000000002E-2</v>
      </c>
      <c r="AC130">
        <v>-0.25015937999999999</v>
      </c>
      <c r="AD130">
        <v>-0.13149443</v>
      </c>
      <c r="AE130">
        <v>0.16412526</v>
      </c>
      <c r="AF130">
        <v>0.15534590000000001</v>
      </c>
      <c r="AG130">
        <v>-3.2745678E-2</v>
      </c>
      <c r="AH130">
        <v>-0.118237354</v>
      </c>
      <c r="AI130">
        <v>0.13178416000000001</v>
      </c>
      <c r="AJ130">
        <v>0.23424961999999999</v>
      </c>
      <c r="AK130">
        <v>-6.0064156E-2</v>
      </c>
      <c r="AL130">
        <v>8.1590264999999995E-2</v>
      </c>
      <c r="AM130">
        <v>0.25854211999999999</v>
      </c>
      <c r="AN130">
        <v>-1.8483070000000001E-2</v>
      </c>
      <c r="AO130">
        <v>-9.0560070000000006E-2</v>
      </c>
      <c r="AP130">
        <v>6.7216866E-2</v>
      </c>
      <c r="AQ130">
        <v>0.35773727</v>
      </c>
      <c r="AR130">
        <v>-6.6021084999999993E-2</v>
      </c>
      <c r="AS130">
        <v>4.8146403999999997E-2</v>
      </c>
      <c r="AT130">
        <v>-0.18876761</v>
      </c>
      <c r="AU130">
        <v>0.41666058</v>
      </c>
      <c r="AV130">
        <v>-0.5831885</v>
      </c>
      <c r="AW130">
        <v>-9.9623609999999994E-3</v>
      </c>
      <c r="AX130">
        <v>0.16658048</v>
      </c>
      <c r="AY130">
        <v>5.2103240000000002E-2</v>
      </c>
      <c r="AZ130">
        <v>-0.11891871</v>
      </c>
      <c r="BA130">
        <v>0.25953293</v>
      </c>
      <c r="BB130">
        <v>-0.20705174000000001</v>
      </c>
      <c r="BC130">
        <v>-0.46119296999999998</v>
      </c>
      <c r="BD130">
        <v>0.1799742</v>
      </c>
      <c r="BE130">
        <v>-4.3156480000000001E-3</v>
      </c>
      <c r="BF130">
        <v>0.11500208000000001</v>
      </c>
      <c r="BG130">
        <v>-9.5186839999999995E-3</v>
      </c>
      <c r="BH130">
        <v>-0.40337980000000001</v>
      </c>
      <c r="BI130">
        <v>0.1031594</v>
      </c>
      <c r="BJ130">
        <v>1.2674207E-2</v>
      </c>
      <c r="BK130">
        <v>0.15535593</v>
      </c>
      <c r="BL130">
        <v>3.5192321999999998E-2</v>
      </c>
      <c r="BM130">
        <v>0.10112781</v>
      </c>
      <c r="BN130">
        <v>0.17833757</v>
      </c>
      <c r="BO130">
        <v>-0.22945492000000001</v>
      </c>
      <c r="BP130">
        <v>6.8163215999999999E-2</v>
      </c>
      <c r="BQ130">
        <v>2.1436019000000001E-2</v>
      </c>
      <c r="BR130">
        <v>7.1751690000000007E-2</v>
      </c>
      <c r="BS130">
        <v>-4.5975406000000003E-2</v>
      </c>
      <c r="BT130">
        <v>9.9265224999999999E-2</v>
      </c>
      <c r="BU130">
        <v>0.16638886999999999</v>
      </c>
      <c r="BV130">
        <v>0.18378817</v>
      </c>
      <c r="BW130">
        <v>-7.5736929999999994E-2</v>
      </c>
      <c r="BX130">
        <v>0.18271755000000001</v>
      </c>
      <c r="BY130">
        <v>0.19999926000000001</v>
      </c>
      <c r="BZ130">
        <v>0.15919161000000001</v>
      </c>
      <c r="CA130">
        <v>-9.8110160000000002E-2</v>
      </c>
      <c r="CB130">
        <v>-7.8564099999999998E-2</v>
      </c>
      <c r="CC130">
        <v>-0.23960128</v>
      </c>
      <c r="CD130">
        <v>-7.7537640000000005E-2</v>
      </c>
      <c r="CE130">
        <v>2.1924177E-2</v>
      </c>
      <c r="CF130">
        <v>-0.31499365000000001</v>
      </c>
      <c r="CG130">
        <v>0.105485074</v>
      </c>
      <c r="CH130">
        <v>8.8604479999999999E-2</v>
      </c>
      <c r="CI130">
        <v>4.117813E-2</v>
      </c>
      <c r="CJ130">
        <v>0.108206995</v>
      </c>
      <c r="CK130">
        <v>-0.13354748</v>
      </c>
      <c r="CL130">
        <v>0.12506676999999999</v>
      </c>
      <c r="CM130">
        <v>-0.26990007999999999</v>
      </c>
      <c r="CN130">
        <v>7.045506E-2</v>
      </c>
      <c r="CO130">
        <v>-6.3355590000000003E-2</v>
      </c>
      <c r="CP130">
        <v>0.10467912</v>
      </c>
      <c r="CQ130">
        <v>-2.4819363000000001E-2</v>
      </c>
      <c r="CR130">
        <v>-3.3043146000000002E-2</v>
      </c>
      <c r="CS130">
        <v>-1.3336817000000001E-2</v>
      </c>
      <c r="CT130">
        <v>-0.12313236</v>
      </c>
      <c r="CU130">
        <v>0.23751966999999999</v>
      </c>
      <c r="CV130">
        <v>0.13248803000000001</v>
      </c>
      <c r="CW130">
        <v>-0.25126418</v>
      </c>
      <c r="CX130">
        <v>3.4853750000000003E-2</v>
      </c>
      <c r="CY130">
        <v>2.6432453000000002E-2</v>
      </c>
      <c r="CZ130">
        <v>0.19177367000000001</v>
      </c>
      <c r="DA130">
        <v>0.11768275</v>
      </c>
      <c r="DB130">
        <v>1.7067968999999999E-2</v>
      </c>
      <c r="DC130">
        <v>-7.5706620000000002E-2</v>
      </c>
      <c r="DD130">
        <v>6.4667390000000005E-2</v>
      </c>
      <c r="DE130">
        <v>0.12910068</v>
      </c>
      <c r="DF130">
        <v>0.1103017</v>
      </c>
      <c r="DG130">
        <v>-0.35376489999999999</v>
      </c>
      <c r="DH130">
        <v>9.0097060000000007E-2</v>
      </c>
      <c r="DI130">
        <v>8.3528889999999995E-2</v>
      </c>
      <c r="DJ130">
        <v>0.14898378000000001</v>
      </c>
      <c r="DK130">
        <v>0.12507964999999999</v>
      </c>
      <c r="DL130">
        <v>0.10609697</v>
      </c>
      <c r="DM130">
        <v>-4.8602069999999997E-2</v>
      </c>
      <c r="DN130">
        <v>7.4273640000000002E-2</v>
      </c>
      <c r="DO130">
        <v>-6.1227493000000001E-2</v>
      </c>
      <c r="DP130">
        <v>-9.1256334999999994E-2</v>
      </c>
      <c r="DQ130">
        <v>6.9200319999999996E-2</v>
      </c>
      <c r="DR130">
        <v>-3.8548034000000002E-2</v>
      </c>
      <c r="DS130">
        <v>6.1455715000000001E-2</v>
      </c>
      <c r="DT130">
        <v>4.1330233000000001E-2</v>
      </c>
      <c r="DU130">
        <v>-0.10314129</v>
      </c>
      <c r="DV130">
        <v>9.312776E-3</v>
      </c>
      <c r="DW130">
        <v>3.6514150000000002E-2</v>
      </c>
      <c r="DX130">
        <v>6.1938281999999997E-2</v>
      </c>
      <c r="DY130">
        <v>0.11509481000000001</v>
      </c>
      <c r="DZ130">
        <v>0.26188576000000002</v>
      </c>
    </row>
    <row r="131" spans="1:130" x14ac:dyDescent="0.3">
      <c r="A131">
        <f>Board!$I$12</f>
        <v>1</v>
      </c>
      <c r="C131">
        <v>-0.12020593</v>
      </c>
      <c r="D131">
        <v>0.13195251999999999</v>
      </c>
      <c r="E131">
        <v>-3.9024047999999999E-2</v>
      </c>
      <c r="F131">
        <v>0.12560001000000001</v>
      </c>
      <c r="G131">
        <v>-5.7618649999999997E-3</v>
      </c>
      <c r="H131">
        <v>-0.14586797000000001</v>
      </c>
      <c r="I131">
        <v>0.16784702000000001</v>
      </c>
      <c r="J131">
        <v>0.19102727999999999</v>
      </c>
      <c r="K131">
        <v>5.3231503999999999E-2</v>
      </c>
      <c r="L131">
        <v>-0.14343458000000001</v>
      </c>
      <c r="M131">
        <v>-3.9583010000000002E-2</v>
      </c>
      <c r="N131">
        <v>-0.34326592</v>
      </c>
      <c r="O131">
        <v>-0.13321817999999999</v>
      </c>
      <c r="P131">
        <v>9.895516E-2</v>
      </c>
      <c r="Q131">
        <v>-2.4051032999999999E-2</v>
      </c>
      <c r="R131">
        <v>-0.10633529</v>
      </c>
      <c r="S131">
        <v>5.8529787E-2</v>
      </c>
      <c r="T131">
        <v>0.15634509999999999</v>
      </c>
      <c r="U131">
        <v>2.8415240000000001E-2</v>
      </c>
      <c r="V131">
        <v>0.19945572</v>
      </c>
      <c r="W131">
        <v>1.6510509999999999E-2</v>
      </c>
      <c r="X131">
        <v>0.13507085999999999</v>
      </c>
      <c r="Y131">
        <v>1.1477914000000001E-2</v>
      </c>
      <c r="Z131">
        <v>-5.3531580000000002E-2</v>
      </c>
      <c r="AA131">
        <v>8.8256340000000003E-2</v>
      </c>
      <c r="AB131">
        <v>0.15792129999999999</v>
      </c>
      <c r="AC131">
        <v>-0.41327770000000003</v>
      </c>
      <c r="AD131">
        <v>-4.6097930000000001E-3</v>
      </c>
      <c r="AE131">
        <v>4.9370035999999999E-2</v>
      </c>
      <c r="AF131">
        <v>9.595853E-2</v>
      </c>
      <c r="AG131">
        <v>-3.3052235999999999E-2</v>
      </c>
      <c r="AH131">
        <v>-0.28032040000000003</v>
      </c>
      <c r="AI131">
        <v>-7.1540240000000005E-2</v>
      </c>
      <c r="AJ131">
        <v>0.11766115000000001</v>
      </c>
      <c r="AK131">
        <v>-2.4189709E-2</v>
      </c>
      <c r="AL131">
        <v>-0.10899658</v>
      </c>
      <c r="AM131">
        <v>0.12058088</v>
      </c>
      <c r="AN131">
        <v>-7.2559849999999995E-2</v>
      </c>
      <c r="AO131">
        <v>7.6176170000000001E-2</v>
      </c>
      <c r="AP131">
        <v>-0.11824231</v>
      </c>
      <c r="AQ131">
        <v>0.24910916</v>
      </c>
      <c r="AR131">
        <v>-0.14284873000000001</v>
      </c>
      <c r="AS131">
        <v>9.3735204999999995E-3</v>
      </c>
      <c r="AT131">
        <v>-0.20477815999999999</v>
      </c>
      <c r="AU131">
        <v>0.18956234</v>
      </c>
      <c r="AV131">
        <v>-0.68912846000000005</v>
      </c>
      <c r="AW131">
        <v>-0.24840599999999999</v>
      </c>
      <c r="AX131">
        <v>7.8058180000000005E-2</v>
      </c>
      <c r="AY131">
        <v>0.17428450000000001</v>
      </c>
      <c r="AZ131">
        <v>-7.6839320000000003E-2</v>
      </c>
      <c r="BA131">
        <v>9.2784610000000003E-2</v>
      </c>
      <c r="BB131">
        <v>-0.19612811999999999</v>
      </c>
      <c r="BC131">
        <v>-0.41329816000000003</v>
      </c>
      <c r="BD131">
        <v>8.3530989999999999E-2</v>
      </c>
      <c r="BE131">
        <v>-0.1199394</v>
      </c>
      <c r="BF131">
        <v>4.7701872999999999E-2</v>
      </c>
      <c r="BG131">
        <v>0.12443261</v>
      </c>
      <c r="BH131">
        <v>-0.37016732000000002</v>
      </c>
      <c r="BI131">
        <v>0.12099024999999999</v>
      </c>
      <c r="BJ131">
        <v>3.3661339999999998E-2</v>
      </c>
      <c r="BK131">
        <v>-0.1104513</v>
      </c>
      <c r="BL131">
        <v>-3.2950867000000002E-2</v>
      </c>
      <c r="BM131">
        <v>9.4415403999999994E-2</v>
      </c>
      <c r="BN131">
        <v>0.21415957999999999</v>
      </c>
      <c r="BO131">
        <v>-0.28961924</v>
      </c>
      <c r="BP131">
        <v>1.1486409E-2</v>
      </c>
      <c r="BQ131">
        <v>0.13807659999999999</v>
      </c>
      <c r="BR131">
        <v>-0.15436773000000001</v>
      </c>
      <c r="BS131">
        <v>-9.1729979999999999E-3</v>
      </c>
      <c r="BT131">
        <v>4.3816755999999998E-2</v>
      </c>
      <c r="BU131">
        <v>0.22511575</v>
      </c>
      <c r="BV131">
        <v>0.17380246999999999</v>
      </c>
      <c r="BW131">
        <v>-9.725876E-2</v>
      </c>
      <c r="BX131">
        <v>6.2206400000000002E-2</v>
      </c>
      <c r="BY131">
        <v>6.7177445000000002E-2</v>
      </c>
      <c r="BZ131">
        <v>0.15996009999999999</v>
      </c>
      <c r="CA131">
        <v>-1.8968536000000001E-2</v>
      </c>
      <c r="CB131">
        <v>-5.3884952999999999E-2</v>
      </c>
      <c r="CC131">
        <v>-0.13529827</v>
      </c>
      <c r="CD131">
        <v>-0.19093582000000001</v>
      </c>
      <c r="CE131">
        <v>1.1824754E-3</v>
      </c>
      <c r="CF131">
        <v>-0.30896023</v>
      </c>
      <c r="CG131">
        <v>-0.10861504</v>
      </c>
      <c r="CH131">
        <v>-5.8304947000000003E-2</v>
      </c>
      <c r="CI131">
        <v>5.1838519999999999E-2</v>
      </c>
      <c r="CJ131">
        <v>0.21230483</v>
      </c>
      <c r="CK131">
        <v>0.17894932999999999</v>
      </c>
      <c r="CL131">
        <v>5.7421442000000003E-2</v>
      </c>
      <c r="CM131">
        <v>-0.214971</v>
      </c>
      <c r="CN131">
        <v>0.20290733999999999</v>
      </c>
      <c r="CO131">
        <v>-0.11485954</v>
      </c>
      <c r="CP131">
        <v>0.15978856</v>
      </c>
      <c r="CQ131">
        <v>-0.30275148000000002</v>
      </c>
      <c r="CR131">
        <v>-0.16046589999999999</v>
      </c>
      <c r="CS131">
        <v>-1.4680588E-2</v>
      </c>
      <c r="CT131">
        <v>-6.7288525000000002E-2</v>
      </c>
      <c r="CU131">
        <v>0.18798208</v>
      </c>
      <c r="CV131">
        <v>-1.1017848E-2</v>
      </c>
      <c r="CW131">
        <v>-2.0593263000000001E-2</v>
      </c>
      <c r="CX131">
        <v>1.1751598E-2</v>
      </c>
      <c r="CY131">
        <v>5.2852990000000002E-2</v>
      </c>
      <c r="CZ131">
        <v>-0.26291490000000001</v>
      </c>
      <c r="DA131">
        <v>8.5690269999999999E-2</v>
      </c>
      <c r="DB131">
        <v>6.4316310000000002E-2</v>
      </c>
      <c r="DC131">
        <v>0.16957079999999999</v>
      </c>
      <c r="DD131">
        <v>-5.1046179999999997E-2</v>
      </c>
      <c r="DE131">
        <v>0.14204954</v>
      </c>
      <c r="DF131">
        <v>0.10376453400000001</v>
      </c>
      <c r="DG131">
        <v>5.0231919999999999E-2</v>
      </c>
      <c r="DH131">
        <v>0.16679403000000001</v>
      </c>
      <c r="DI131">
        <v>5.3352444999999998E-2</v>
      </c>
      <c r="DJ131">
        <v>0.12764486999999999</v>
      </c>
      <c r="DK131">
        <v>0.15026497999999999</v>
      </c>
      <c r="DL131">
        <v>9.5884759999999999E-2</v>
      </c>
      <c r="DM131">
        <v>0.17804147000000001</v>
      </c>
      <c r="DN131">
        <v>0.11107266</v>
      </c>
      <c r="DO131">
        <v>-2.5674387999999999E-2</v>
      </c>
      <c r="DP131">
        <v>1.4244545000000001E-2</v>
      </c>
      <c r="DQ131">
        <v>-0.30100222999999998</v>
      </c>
      <c r="DR131">
        <v>8.4326560000000002E-3</v>
      </c>
      <c r="DS131">
        <v>1.2566160999999999E-2</v>
      </c>
      <c r="DT131">
        <v>0.18394814000000001</v>
      </c>
      <c r="DU131">
        <v>-0.155725</v>
      </c>
      <c r="DV131">
        <v>-0.5430857</v>
      </c>
      <c r="DW131">
        <v>6.7733265000000001E-2</v>
      </c>
      <c r="DX131">
        <v>-0.12380167</v>
      </c>
      <c r="DY131">
        <v>0.16096024</v>
      </c>
      <c r="DZ131">
        <v>0.18303755999999999</v>
      </c>
    </row>
    <row r="132" spans="1:130" x14ac:dyDescent="0.3">
      <c r="A132">
        <f>Board!$J$12</f>
        <v>0</v>
      </c>
      <c r="C132">
        <v>-1.5111042999999999E-2</v>
      </c>
      <c r="D132">
        <v>9.9832593999999997E-2</v>
      </c>
      <c r="E132">
        <v>1.3711986999999999E-3</v>
      </c>
      <c r="F132">
        <v>0.13131799999999999</v>
      </c>
      <c r="G132">
        <v>-0.14268214000000001</v>
      </c>
      <c r="H132">
        <v>-0.21628094</v>
      </c>
      <c r="I132">
        <v>0.14476016</v>
      </c>
      <c r="J132">
        <v>0.25553995000000002</v>
      </c>
      <c r="K132">
        <v>-9.4487734000000004E-2</v>
      </c>
      <c r="L132">
        <v>-0.15676314999999999</v>
      </c>
      <c r="M132">
        <v>-0.16345185000000001</v>
      </c>
      <c r="N132">
        <v>-0.25548205000000002</v>
      </c>
      <c r="O132">
        <v>-0.20238308999999999</v>
      </c>
      <c r="P132">
        <v>-2.1202169999999999E-2</v>
      </c>
      <c r="Q132">
        <v>-0.28054649999999998</v>
      </c>
      <c r="R132">
        <v>-0.11477571</v>
      </c>
      <c r="S132">
        <v>0.12662387999999999</v>
      </c>
      <c r="T132">
        <v>0.3029036</v>
      </c>
      <c r="U132">
        <v>9.5479530000000007E-2</v>
      </c>
      <c r="V132">
        <v>0.24680921</v>
      </c>
      <c r="W132">
        <v>4.7600646000000003E-2</v>
      </c>
      <c r="X132">
        <v>0.11373279</v>
      </c>
      <c r="Y132">
        <v>0.11236396999999999</v>
      </c>
      <c r="Z132">
        <v>-0.28895447000000002</v>
      </c>
      <c r="AA132">
        <v>3.7799450000000002E-6</v>
      </c>
      <c r="AB132">
        <v>0.21492902999999999</v>
      </c>
      <c r="AC132">
        <v>-0.18575923</v>
      </c>
      <c r="AD132">
        <v>9.5251599999999995E-3</v>
      </c>
      <c r="AE132">
        <v>-2.5992543E-2</v>
      </c>
      <c r="AF132">
        <v>-0.11440791</v>
      </c>
      <c r="AG132">
        <v>-0.31339872000000002</v>
      </c>
      <c r="AH132">
        <v>-0.14901882</v>
      </c>
      <c r="AI132">
        <v>5.2072550000000002E-2</v>
      </c>
      <c r="AJ132">
        <v>0.10685918</v>
      </c>
      <c r="AK132">
        <v>-0.21609613</v>
      </c>
      <c r="AL132">
        <v>-0.37926847000000002</v>
      </c>
      <c r="AM132">
        <v>7.8059100000000006E-2</v>
      </c>
      <c r="AN132">
        <v>-0.16195688999999999</v>
      </c>
      <c r="AO132">
        <v>0.10483054</v>
      </c>
      <c r="AP132">
        <v>-0.14289698000000001</v>
      </c>
      <c r="AQ132">
        <v>0.18659443000000001</v>
      </c>
      <c r="AR132">
        <v>-0.18601887</v>
      </c>
      <c r="AS132">
        <v>2.7743666E-2</v>
      </c>
      <c r="AT132">
        <v>2.5895893999999999E-2</v>
      </c>
      <c r="AU132">
        <v>0.11522128399999999</v>
      </c>
      <c r="AV132">
        <v>-0.38445057999999999</v>
      </c>
      <c r="AW132">
        <v>-0.32628879999999999</v>
      </c>
      <c r="AX132">
        <v>1.8494159999999999E-2</v>
      </c>
      <c r="AY132">
        <v>9.4657370000000005E-2</v>
      </c>
      <c r="AZ132">
        <v>-1.3169566000000001E-2</v>
      </c>
      <c r="BA132">
        <v>0.23757526000000001</v>
      </c>
      <c r="BB132">
        <v>-6.0676056999999999E-2</v>
      </c>
      <c r="BC132">
        <v>-0.43961414999999998</v>
      </c>
      <c r="BD132">
        <v>-0.17376005999999999</v>
      </c>
      <c r="BE132">
        <v>5.2984900000000001E-2</v>
      </c>
      <c r="BF132">
        <v>-0.11732194</v>
      </c>
      <c r="BG132">
        <v>-8.3056529999999996E-3</v>
      </c>
      <c r="BH132">
        <v>-0.15925905000000001</v>
      </c>
      <c r="BI132">
        <v>0.13395402000000001</v>
      </c>
      <c r="BJ132">
        <v>2.9274458E-2</v>
      </c>
      <c r="BK132">
        <v>6.8229100000000001E-2</v>
      </c>
      <c r="BL132">
        <v>0.20573938</v>
      </c>
      <c r="BM132">
        <v>0.25196064000000001</v>
      </c>
      <c r="BN132">
        <v>0.18234544999999999</v>
      </c>
      <c r="BO132">
        <v>-0.32668069999999999</v>
      </c>
      <c r="BP132">
        <v>0.11585096</v>
      </c>
      <c r="BQ132">
        <v>7.9075699999999999E-2</v>
      </c>
      <c r="BR132">
        <v>-0.47831255</v>
      </c>
      <c r="BS132">
        <v>-3.2355192999999997E-2</v>
      </c>
      <c r="BT132">
        <v>0.16117838000000001</v>
      </c>
      <c r="BU132">
        <v>-1.5320586000000001E-2</v>
      </c>
      <c r="BV132">
        <v>3.4912352000000002E-3</v>
      </c>
      <c r="BW132">
        <v>-0.17087463999999999</v>
      </c>
      <c r="BX132">
        <v>-0.18833055000000001</v>
      </c>
      <c r="BY132">
        <v>0.19583236000000001</v>
      </c>
      <c r="BZ132">
        <v>0.23653936</v>
      </c>
      <c r="CA132">
        <v>-0.47552842000000001</v>
      </c>
      <c r="CB132">
        <v>-0.12414042</v>
      </c>
      <c r="CC132">
        <v>5.0757244E-2</v>
      </c>
      <c r="CD132">
        <v>2.6412932E-2</v>
      </c>
      <c r="CE132">
        <v>0.21805095999999999</v>
      </c>
      <c r="CF132">
        <v>-0.23436017000000001</v>
      </c>
      <c r="CG132">
        <v>-6.0843269999999998E-2</v>
      </c>
      <c r="CH132">
        <v>1.3144102E-2</v>
      </c>
      <c r="CI132">
        <v>-1.1234147999999999E-2</v>
      </c>
      <c r="CJ132">
        <v>7.5205414999999998E-2</v>
      </c>
      <c r="CK132">
        <v>-6.3348009999999996E-2</v>
      </c>
      <c r="CL132">
        <v>1.3845932E-3</v>
      </c>
      <c r="CM132">
        <v>-0.11606289</v>
      </c>
      <c r="CN132">
        <v>0.14896527000000001</v>
      </c>
      <c r="CO132">
        <v>-3.5826391999999999E-2</v>
      </c>
      <c r="CP132">
        <v>0.13675909</v>
      </c>
      <c r="CQ132">
        <v>3.5288319999999998E-2</v>
      </c>
      <c r="CR132">
        <v>8.6441959999999998E-2</v>
      </c>
      <c r="CS132">
        <v>-0.31294662000000001</v>
      </c>
      <c r="CT132">
        <v>-0.13598837999999999</v>
      </c>
      <c r="CU132">
        <v>0.14056936</v>
      </c>
      <c r="CV132">
        <v>4.9829173999999997E-2</v>
      </c>
      <c r="CW132">
        <v>-0.13897702000000001</v>
      </c>
      <c r="CX132">
        <v>6.6489320000000005E-2</v>
      </c>
      <c r="CY132">
        <v>1.5799326999999998E-2</v>
      </c>
      <c r="CZ132">
        <v>-0.39064460000000001</v>
      </c>
      <c r="DA132">
        <v>0.16364375</v>
      </c>
      <c r="DB132">
        <v>-0.19745259000000001</v>
      </c>
      <c r="DC132">
        <v>0.22627130000000001</v>
      </c>
      <c r="DD132">
        <v>-9.4622020000000001E-2</v>
      </c>
      <c r="DE132">
        <v>8.2922466E-2</v>
      </c>
      <c r="DF132">
        <v>-3.9024033E-2</v>
      </c>
      <c r="DG132">
        <v>7.8179360000000003E-2</v>
      </c>
      <c r="DH132">
        <v>9.0113429999999998E-3</v>
      </c>
      <c r="DI132">
        <v>1.8077446E-3</v>
      </c>
      <c r="DJ132">
        <v>-0.14187453999999999</v>
      </c>
      <c r="DK132">
        <v>-8.2493750000000005E-2</v>
      </c>
      <c r="DL132">
        <v>5.1753819999999999E-2</v>
      </c>
      <c r="DM132">
        <v>-2.4087548E-2</v>
      </c>
      <c r="DN132">
        <v>0.24815625999999999</v>
      </c>
      <c r="DO132">
        <v>2.6793862000000002E-2</v>
      </c>
      <c r="DP132">
        <v>-7.5928800000000005E-2</v>
      </c>
      <c r="DQ132">
        <v>-0.42023413999999998</v>
      </c>
      <c r="DR132">
        <v>0.22607163</v>
      </c>
      <c r="DS132">
        <v>4.2705069999999998E-2</v>
      </c>
      <c r="DT132">
        <v>0.15392601</v>
      </c>
      <c r="DU132">
        <v>-8.0947930000000001E-2</v>
      </c>
      <c r="DV132">
        <v>-0.70025590000000004</v>
      </c>
      <c r="DW132">
        <v>1.0086532E-2</v>
      </c>
      <c r="DX132">
        <v>-0.14485756999999999</v>
      </c>
      <c r="DY132">
        <v>-4.7642425000000002E-2</v>
      </c>
      <c r="DZ132">
        <v>0.14177571</v>
      </c>
    </row>
    <row r="133" spans="1:130" x14ac:dyDescent="0.3">
      <c r="A133">
        <f>Board!$K$12</f>
        <v>0</v>
      </c>
      <c r="C133">
        <v>1.6383998E-2</v>
      </c>
      <c r="D133">
        <v>-5.8169934999999999E-2</v>
      </c>
      <c r="E133">
        <v>4.7186684E-2</v>
      </c>
      <c r="F133">
        <v>0.13817436999999999</v>
      </c>
      <c r="G133">
        <v>5.7414405000000002E-2</v>
      </c>
      <c r="H133">
        <v>2.4168193000000001E-2</v>
      </c>
      <c r="I133">
        <v>5.1573785000000004E-3</v>
      </c>
      <c r="J133">
        <v>0.12876660000000001</v>
      </c>
      <c r="K133">
        <v>-4.7282536E-2</v>
      </c>
      <c r="L133">
        <v>-6.5625235000000004E-2</v>
      </c>
      <c r="M133">
        <v>0.117507234</v>
      </c>
      <c r="N133">
        <v>-0.10015019999999999</v>
      </c>
      <c r="O133">
        <v>-0.42409195999999999</v>
      </c>
      <c r="P133">
        <v>-1.6634762000000001E-2</v>
      </c>
      <c r="Q133">
        <v>-4.3588391999999997E-2</v>
      </c>
      <c r="R133">
        <v>6.925183E-2</v>
      </c>
      <c r="S133">
        <v>0.24309728</v>
      </c>
      <c r="T133">
        <v>0.116245165</v>
      </c>
      <c r="U133">
        <v>-0.16003907000000001</v>
      </c>
      <c r="V133">
        <v>5.3750340000000001E-2</v>
      </c>
      <c r="W133">
        <v>-6.1927191999999999E-2</v>
      </c>
      <c r="X133">
        <v>0.13206106000000001</v>
      </c>
      <c r="Y133">
        <v>0.22566700000000001</v>
      </c>
      <c r="Z133">
        <v>6.0879710000000002E-3</v>
      </c>
      <c r="AA133">
        <v>-1.7056412999999999E-2</v>
      </c>
      <c r="AB133">
        <v>3.5886787000000003E-2</v>
      </c>
      <c r="AC133">
        <v>-8.6658633999999998E-2</v>
      </c>
      <c r="AD133">
        <v>-3.7588733999999999E-2</v>
      </c>
      <c r="AE133">
        <v>2.3007528999999999E-2</v>
      </c>
      <c r="AF133">
        <v>3.5364320000000002E-4</v>
      </c>
      <c r="AG133">
        <v>-8.9101040000000006E-2</v>
      </c>
      <c r="AH133">
        <v>-6.0938619999999999E-2</v>
      </c>
      <c r="AI133">
        <v>-9.5714259999999992E-3</v>
      </c>
      <c r="AJ133">
        <v>-0.26967745999999998</v>
      </c>
      <c r="AK133">
        <v>-0.20232816000000001</v>
      </c>
      <c r="AL133">
        <v>-0.31353816000000001</v>
      </c>
      <c r="AM133">
        <v>-6.5384570000000003E-2</v>
      </c>
      <c r="AN133">
        <v>-0.16118905</v>
      </c>
      <c r="AO133">
        <v>2.1315352999999999E-2</v>
      </c>
      <c r="AP133">
        <v>-0.1744299</v>
      </c>
      <c r="AQ133">
        <v>0.21334499000000001</v>
      </c>
      <c r="AR133">
        <v>-0.16814998</v>
      </c>
      <c r="AS133">
        <v>7.4436620000000002E-3</v>
      </c>
      <c r="AT133">
        <v>-9.7676479999999996E-2</v>
      </c>
      <c r="AU133">
        <v>-0.16000205000000001</v>
      </c>
      <c r="AV133">
        <v>-5.3415780000000003E-2</v>
      </c>
      <c r="AW133">
        <v>7.4382329999999997E-2</v>
      </c>
      <c r="AX133">
        <v>3.3709490000000002E-2</v>
      </c>
      <c r="AY133">
        <v>0.15612824</v>
      </c>
      <c r="AZ133">
        <v>-0.182781</v>
      </c>
      <c r="BA133">
        <v>0.15378426000000001</v>
      </c>
      <c r="BB133">
        <v>8.6348385E-2</v>
      </c>
      <c r="BC133">
        <v>-0.12133758</v>
      </c>
      <c r="BD133">
        <v>-0.12279352</v>
      </c>
      <c r="BE133">
        <v>-0.13131611000000001</v>
      </c>
      <c r="BF133">
        <v>-9.7829819999999998E-2</v>
      </c>
      <c r="BG133">
        <v>0.13794187999999999</v>
      </c>
      <c r="BH133">
        <v>8.4274600000000005E-2</v>
      </c>
      <c r="BI133">
        <v>-0.25631472</v>
      </c>
      <c r="BJ133">
        <v>0.12097604000000001</v>
      </c>
      <c r="BK133">
        <v>-9.1738849999999997E-2</v>
      </c>
      <c r="BL133">
        <v>0.22376649000000001</v>
      </c>
      <c r="BM133">
        <v>-1.8932701999999999E-2</v>
      </c>
      <c r="BN133">
        <v>7.0243769999999997E-2</v>
      </c>
      <c r="BO133">
        <v>-0.15110813000000001</v>
      </c>
      <c r="BP133">
        <v>0.20856947000000001</v>
      </c>
      <c r="BQ133">
        <v>0.14646757999999999</v>
      </c>
      <c r="BR133">
        <v>-0.30564392000000001</v>
      </c>
      <c r="BS133">
        <v>-5.9514270000000001E-2</v>
      </c>
      <c r="BT133">
        <v>0.15746763</v>
      </c>
      <c r="BU133">
        <v>-0.11696664</v>
      </c>
      <c r="BV133">
        <v>-0.13123663999999999</v>
      </c>
      <c r="BW133">
        <v>-0.23122187999999999</v>
      </c>
      <c r="BX133">
        <v>-1.6757311E-2</v>
      </c>
      <c r="BY133">
        <v>3.3497873999999997E-2</v>
      </c>
      <c r="BZ133">
        <v>0.26212787999999998</v>
      </c>
      <c r="CA133">
        <v>-0.2978806</v>
      </c>
      <c r="CB133">
        <v>-0.24237844</v>
      </c>
      <c r="CC133">
        <v>0.11944738000000001</v>
      </c>
      <c r="CD133">
        <v>1.3091524E-2</v>
      </c>
      <c r="CE133">
        <v>0.40470588000000002</v>
      </c>
      <c r="CF133">
        <v>-0.17854099000000001</v>
      </c>
      <c r="CG133">
        <v>-0.21459755</v>
      </c>
      <c r="CH133">
        <v>-0.25594175000000002</v>
      </c>
      <c r="CI133">
        <v>5.3638466000000003E-2</v>
      </c>
      <c r="CJ133">
        <v>-1.1792792E-2</v>
      </c>
      <c r="CK133">
        <v>-6.4911949999999996E-2</v>
      </c>
      <c r="CL133">
        <v>4.8153757999999998E-2</v>
      </c>
      <c r="CM133">
        <v>3.7265069999999997E-2</v>
      </c>
      <c r="CN133">
        <v>-3.1560455000000001E-2</v>
      </c>
      <c r="CO133">
        <v>0.23916345999999999</v>
      </c>
      <c r="CP133">
        <v>-0.10414608</v>
      </c>
      <c r="CQ133">
        <v>-0.12968926</v>
      </c>
      <c r="CR133">
        <v>6.840773E-2</v>
      </c>
      <c r="CS133">
        <v>-0.24230635</v>
      </c>
      <c r="CT133">
        <v>5.3542606999999999E-2</v>
      </c>
      <c r="CU133">
        <v>-0.25480625000000001</v>
      </c>
      <c r="CV133">
        <v>1.8249264000000001E-2</v>
      </c>
      <c r="CW133">
        <v>5.7495125000000001E-2</v>
      </c>
      <c r="CX133">
        <v>0.16293204999999999</v>
      </c>
      <c r="CY133">
        <v>-2.9249675999999999E-2</v>
      </c>
      <c r="CZ133">
        <v>-0.15374109</v>
      </c>
      <c r="DA133">
        <v>0.19741740999999999</v>
      </c>
      <c r="DB133">
        <v>2.3948178000000001E-2</v>
      </c>
      <c r="DC133">
        <v>-2.3938517999999999E-2</v>
      </c>
      <c r="DD133">
        <v>6.6331929999999997E-2</v>
      </c>
      <c r="DE133">
        <v>0.21453865</v>
      </c>
      <c r="DF133">
        <v>0.21154480000000001</v>
      </c>
      <c r="DG133">
        <v>0.14037347999999999</v>
      </c>
      <c r="DH133">
        <v>0.2556214</v>
      </c>
      <c r="DI133">
        <v>0.11520704</v>
      </c>
      <c r="DJ133">
        <v>-6.2042079999999999E-2</v>
      </c>
      <c r="DK133">
        <v>-0.30040494000000001</v>
      </c>
      <c r="DL133">
        <v>-0.12341571</v>
      </c>
      <c r="DM133">
        <v>6.8262539999999997E-2</v>
      </c>
      <c r="DN133">
        <v>0.17379928</v>
      </c>
      <c r="DO133">
        <v>0.21738935000000001</v>
      </c>
      <c r="DP133">
        <v>6.0571720000000003E-2</v>
      </c>
      <c r="DQ133">
        <v>-0.16729458</v>
      </c>
      <c r="DR133">
        <v>0.42019754999999998</v>
      </c>
      <c r="DS133">
        <v>5.3146360000000002E-3</v>
      </c>
      <c r="DT133">
        <v>-4.6331799999999999E-2</v>
      </c>
      <c r="DU133">
        <v>-4.1588119999999999E-2</v>
      </c>
      <c r="DV133">
        <v>-0.22815859999999999</v>
      </c>
      <c r="DW133">
        <v>-6.4931539999999996E-2</v>
      </c>
      <c r="DX133">
        <v>1.9652665E-2</v>
      </c>
      <c r="DY133">
        <v>-0.10768055</v>
      </c>
      <c r="DZ133">
        <v>-4.5612987000000001E-2</v>
      </c>
    </row>
    <row r="134" spans="1:130" x14ac:dyDescent="0.3">
      <c r="A134">
        <f>Board!$L$12</f>
        <v>0</v>
      </c>
      <c r="C134">
        <v>0.12657652999999999</v>
      </c>
      <c r="D134">
        <v>0.18870546999999999</v>
      </c>
      <c r="E134">
        <v>2.9778427E-2</v>
      </c>
      <c r="F134">
        <v>-0.119057566</v>
      </c>
      <c r="G134">
        <v>-2.3336556000000001E-2</v>
      </c>
      <c r="H134">
        <v>0.26570153000000002</v>
      </c>
      <c r="I134">
        <v>0.22733429999999999</v>
      </c>
      <c r="J134">
        <v>0.14499493999999999</v>
      </c>
      <c r="K134">
        <v>-7.8336139999999999E-2</v>
      </c>
      <c r="L134">
        <v>-0.15821262</v>
      </c>
      <c r="M134">
        <v>-2.9996829999999999E-2</v>
      </c>
      <c r="N134">
        <v>0.10184277</v>
      </c>
      <c r="O134">
        <v>-0.37041753999999999</v>
      </c>
      <c r="P134">
        <v>9.7979369999999996E-3</v>
      </c>
      <c r="Q134">
        <v>-6.8241259999999998E-2</v>
      </c>
      <c r="R134">
        <v>0.14236492000000001</v>
      </c>
      <c r="S134">
        <v>0.17573523999999999</v>
      </c>
      <c r="T134">
        <v>3.3766200000000003E-2</v>
      </c>
      <c r="U134">
        <v>-4.4899269999999998E-2</v>
      </c>
      <c r="V134">
        <v>-6.6127255999999995E-2</v>
      </c>
      <c r="W134">
        <v>-0.13471633</v>
      </c>
      <c r="X134">
        <v>0.17054448999999999</v>
      </c>
      <c r="Y134">
        <v>-0.2708643</v>
      </c>
      <c r="Z134">
        <v>-4.7549783999999998E-2</v>
      </c>
      <c r="AA134">
        <v>-0.10612922</v>
      </c>
      <c r="AB134">
        <v>-0.10347157999999999</v>
      </c>
      <c r="AC134">
        <v>-0.17230827000000001</v>
      </c>
      <c r="AD134">
        <v>-8.7372480000000002E-2</v>
      </c>
      <c r="AE134">
        <v>0.15441004999999999</v>
      </c>
      <c r="AF134">
        <v>-9.1753719999999997E-2</v>
      </c>
      <c r="AG134">
        <v>-6.5330200000000005E-2</v>
      </c>
      <c r="AH134">
        <v>9.3735009999999994E-2</v>
      </c>
      <c r="AI134">
        <v>0.18196635</v>
      </c>
      <c r="AJ134">
        <v>-0.24261421999999999</v>
      </c>
      <c r="AK134">
        <v>-6.8055050000000006E-2</v>
      </c>
      <c r="AL134">
        <v>-0.23565340000000001</v>
      </c>
      <c r="AM134">
        <v>0.17416290000000001</v>
      </c>
      <c r="AN134">
        <v>-7.8208849999999996E-2</v>
      </c>
      <c r="AO134">
        <v>0.22307830000000001</v>
      </c>
      <c r="AP134">
        <v>-5.0198786000000002E-2</v>
      </c>
      <c r="AQ134">
        <v>-6.6411139999999994E-2</v>
      </c>
      <c r="AR134">
        <v>-8.6648639999999999E-2</v>
      </c>
      <c r="AS134">
        <v>4.9395653999999997E-2</v>
      </c>
      <c r="AT134">
        <v>0.22128312</v>
      </c>
      <c r="AU134">
        <v>-0.23325815999999999</v>
      </c>
      <c r="AV134">
        <v>3.5316166000000003E-2</v>
      </c>
      <c r="AW134">
        <v>1.7523054E-2</v>
      </c>
      <c r="AX134">
        <v>5.5499239999999998E-2</v>
      </c>
      <c r="AY134">
        <v>0.32170080000000001</v>
      </c>
      <c r="AZ134">
        <v>-2.4241862999999999E-2</v>
      </c>
      <c r="BA134">
        <v>0.14750901</v>
      </c>
      <c r="BB134">
        <v>-2.5113650000000001E-2</v>
      </c>
      <c r="BC134">
        <v>-3.9984100000000002E-2</v>
      </c>
      <c r="BD134">
        <v>0.13570677</v>
      </c>
      <c r="BE134">
        <v>-0.11882326999999999</v>
      </c>
      <c r="BF134">
        <v>-9.2828750000000002E-2</v>
      </c>
      <c r="BG134">
        <v>-0.11043915999999999</v>
      </c>
      <c r="BH134">
        <v>-3.8276874000000002E-2</v>
      </c>
      <c r="BI134">
        <v>-0.26731442999999999</v>
      </c>
      <c r="BJ134">
        <v>0.1378392</v>
      </c>
      <c r="BK134">
        <v>0.17015827</v>
      </c>
      <c r="BL134">
        <v>4.9588773000000003E-2</v>
      </c>
      <c r="BM134">
        <v>1.7966827000000001E-2</v>
      </c>
      <c r="BN134">
        <v>-0.22097269</v>
      </c>
      <c r="BO134">
        <v>0.10047455</v>
      </c>
      <c r="BP134">
        <v>0.39961570000000002</v>
      </c>
      <c r="BQ134">
        <v>0.16979805000000001</v>
      </c>
      <c r="BR134">
        <v>-0.14005192</v>
      </c>
      <c r="BS134">
        <v>-0.14474690000000001</v>
      </c>
      <c r="BT134">
        <v>0.2190134</v>
      </c>
      <c r="BU134">
        <v>-5.5263556999999998E-2</v>
      </c>
      <c r="BV134">
        <v>-0.23574339</v>
      </c>
      <c r="BW134">
        <v>-0.20726923999999999</v>
      </c>
      <c r="BX134">
        <v>-0.18047945000000001</v>
      </c>
      <c r="BY134">
        <v>-1.9259889000000001E-3</v>
      </c>
      <c r="BZ134">
        <v>0.32613756999999999</v>
      </c>
      <c r="CA134">
        <v>2.9864244000000002E-2</v>
      </c>
      <c r="CB134">
        <v>-0.15318161</v>
      </c>
      <c r="CC134">
        <v>6.5251770000000001E-2</v>
      </c>
      <c r="CD134">
        <v>0.20067398</v>
      </c>
      <c r="CE134">
        <v>0.14661998000000001</v>
      </c>
      <c r="CF134">
        <v>0.22297070999999999</v>
      </c>
      <c r="CG134">
        <v>-0.21110072999999999</v>
      </c>
      <c r="CH134">
        <v>-0.13122348</v>
      </c>
      <c r="CI134">
        <v>0.13036637000000001</v>
      </c>
      <c r="CJ134">
        <v>4.5312869999999998E-2</v>
      </c>
      <c r="CK134">
        <v>-2.7160117999999998E-3</v>
      </c>
      <c r="CL134">
        <v>-8.4196019999999996E-2</v>
      </c>
      <c r="CM134">
        <v>-6.1604093999999998E-2</v>
      </c>
      <c r="CN134">
        <v>-7.2457209999999994E-2</v>
      </c>
      <c r="CO134">
        <v>-2.9839601E-2</v>
      </c>
      <c r="CP134">
        <v>8.5117390000000001E-2</v>
      </c>
      <c r="CQ134">
        <v>0.19924647000000001</v>
      </c>
      <c r="CR134">
        <v>0.15119772000000001</v>
      </c>
      <c r="CS134">
        <v>-3.7865169999999997E-2</v>
      </c>
      <c r="CT134">
        <v>-4.7161059999999998E-2</v>
      </c>
      <c r="CU134">
        <v>-0.46826282000000002</v>
      </c>
      <c r="CV134">
        <v>8.99557E-2</v>
      </c>
      <c r="CW134">
        <v>0.11047675</v>
      </c>
      <c r="CX134">
        <v>0.26886067000000002</v>
      </c>
      <c r="CY134">
        <v>0.12004424</v>
      </c>
      <c r="CZ134">
        <v>-0.13059757999999999</v>
      </c>
      <c r="DA134">
        <v>0.19602099000000001</v>
      </c>
      <c r="DB134">
        <v>4.468863E-3</v>
      </c>
      <c r="DC134">
        <v>-0.16505928</v>
      </c>
      <c r="DD134">
        <v>3.0543121999999999E-2</v>
      </c>
      <c r="DE134">
        <v>0.19325115000000001</v>
      </c>
      <c r="DF134">
        <v>-2.02198E-2</v>
      </c>
      <c r="DG134">
        <v>-6.2096440000000003E-2</v>
      </c>
      <c r="DH134">
        <v>0.18090792999999999</v>
      </c>
      <c r="DI134">
        <v>0.17326221</v>
      </c>
      <c r="DJ134">
        <v>-7.2337100000000001E-2</v>
      </c>
      <c r="DK134">
        <v>-0.16381635</v>
      </c>
      <c r="DL134">
        <v>5.980448E-2</v>
      </c>
      <c r="DM134">
        <v>0.22427388000000001</v>
      </c>
      <c r="DN134">
        <v>2.723376E-3</v>
      </c>
      <c r="DO134">
        <v>7.3454775E-2</v>
      </c>
      <c r="DP134">
        <v>8.4795676E-2</v>
      </c>
      <c r="DQ134">
        <v>-6.1120941999999998E-2</v>
      </c>
      <c r="DR134">
        <v>0.26753779999999999</v>
      </c>
      <c r="DS134">
        <v>0.18095389000000001</v>
      </c>
      <c r="DT134">
        <v>4.2497995E-3</v>
      </c>
      <c r="DU134">
        <v>-3.7155975000000001E-2</v>
      </c>
      <c r="DV134">
        <v>-0.14701805000000001</v>
      </c>
      <c r="DW134">
        <v>-5.0093190000000003E-2</v>
      </c>
      <c r="DX134">
        <v>-0.13767080000000001</v>
      </c>
      <c r="DY134">
        <v>-0.34767598</v>
      </c>
      <c r="DZ134">
        <v>3.2763960000000002E-2</v>
      </c>
    </row>
    <row r="135" spans="1:130" x14ac:dyDescent="0.3">
      <c r="A135">
        <f>Board!$M$12</f>
        <v>0</v>
      </c>
      <c r="C135">
        <v>-8.7347109999999992E-3</v>
      </c>
      <c r="D135">
        <v>9.3843410000000002E-2</v>
      </c>
      <c r="E135">
        <v>7.1651240000000005E-2</v>
      </c>
      <c r="F135">
        <v>3.6606405000000002E-2</v>
      </c>
      <c r="G135">
        <v>-4.0771547999999998E-2</v>
      </c>
      <c r="H135">
        <v>-1.1441461999999999E-2</v>
      </c>
      <c r="I135">
        <v>-0.116045624</v>
      </c>
      <c r="J135">
        <v>0.23473612999999999</v>
      </c>
      <c r="K135">
        <v>-9.9728780000000003E-2</v>
      </c>
      <c r="L135">
        <v>0.13806209999999999</v>
      </c>
      <c r="M135">
        <v>-0.13652927000000001</v>
      </c>
      <c r="N135">
        <v>-1.0970331999999999E-2</v>
      </c>
      <c r="O135">
        <v>-0.2086681</v>
      </c>
      <c r="P135">
        <v>-0.19521251000000001</v>
      </c>
      <c r="Q135">
        <v>8.138041E-2</v>
      </c>
      <c r="R135">
        <v>-3.0692385999999999E-2</v>
      </c>
      <c r="S135">
        <v>7.8096090000000007E-2</v>
      </c>
      <c r="T135">
        <v>-0.120306686</v>
      </c>
      <c r="U135">
        <v>9.5810400000000004E-2</v>
      </c>
      <c r="V135">
        <v>-0.116033025</v>
      </c>
      <c r="W135">
        <v>4.3546583999999999E-2</v>
      </c>
      <c r="X135">
        <v>-0.15528713</v>
      </c>
      <c r="Y135">
        <v>-7.7480133999999999E-3</v>
      </c>
      <c r="Z135">
        <v>-0.22936405000000001</v>
      </c>
      <c r="AA135">
        <v>-8.1300049999999999E-2</v>
      </c>
      <c r="AB135">
        <v>-0.12692091</v>
      </c>
      <c r="AC135">
        <v>5.4973950000000001E-2</v>
      </c>
      <c r="AD135">
        <v>5.0798892999999998E-2</v>
      </c>
      <c r="AE135">
        <v>3.5612339999999999E-2</v>
      </c>
      <c r="AF135">
        <v>4.6661550000000003E-2</v>
      </c>
      <c r="AG135">
        <v>8.0697045999999996E-4</v>
      </c>
      <c r="AH135">
        <v>-1.4805007E-2</v>
      </c>
      <c r="AI135">
        <v>-8.0664169999999993E-2</v>
      </c>
      <c r="AJ135">
        <v>-2.1879625E-2</v>
      </c>
      <c r="AK135">
        <v>-0.16362868</v>
      </c>
      <c r="AL135">
        <v>9.0246566E-2</v>
      </c>
      <c r="AM135">
        <v>-8.5930179999999995E-2</v>
      </c>
      <c r="AN135">
        <v>-9.4915459999999993E-2</v>
      </c>
      <c r="AO135">
        <v>0.14066297</v>
      </c>
      <c r="AP135">
        <v>-0.13545465000000001</v>
      </c>
      <c r="AQ135">
        <v>-4.5520619999999998E-2</v>
      </c>
      <c r="AR135">
        <v>5.4288980000000001E-2</v>
      </c>
      <c r="AS135">
        <v>-1.4725630999999999E-2</v>
      </c>
      <c r="AT135">
        <v>-8.7374370000000007E-2</v>
      </c>
      <c r="AU135">
        <v>-6.8225279999999999E-2</v>
      </c>
      <c r="AV135">
        <v>-6.1826407999999999E-2</v>
      </c>
      <c r="AW135">
        <v>6.5157174999999998E-2</v>
      </c>
      <c r="AX135">
        <v>0.26523194</v>
      </c>
      <c r="AY135">
        <v>-9.5775100000000002E-2</v>
      </c>
      <c r="AZ135">
        <v>2.8331984999999999E-4</v>
      </c>
      <c r="BA135">
        <v>6.3521183999999994E-2</v>
      </c>
      <c r="BB135">
        <v>6.0503345E-2</v>
      </c>
      <c r="BC135">
        <v>-0.1318551</v>
      </c>
      <c r="BD135">
        <v>8.4134459999999994E-2</v>
      </c>
      <c r="BE135">
        <v>-0.11519500000000001</v>
      </c>
      <c r="BF135">
        <v>0.10236637</v>
      </c>
      <c r="BG135">
        <v>-7.75058E-2</v>
      </c>
      <c r="BH135">
        <v>-2.5057025E-2</v>
      </c>
      <c r="BI135">
        <v>-0.14153476000000001</v>
      </c>
      <c r="BJ135">
        <v>0.12118348499999999</v>
      </c>
      <c r="BK135">
        <v>-0.13484533000000001</v>
      </c>
      <c r="BL135">
        <v>0.11366596</v>
      </c>
      <c r="BM135">
        <v>0.14929323999999999</v>
      </c>
      <c r="BN135">
        <v>0.12508778000000001</v>
      </c>
      <c r="BO135">
        <v>0.24372690999999999</v>
      </c>
      <c r="BP135">
        <v>-0.15186514000000001</v>
      </c>
      <c r="BQ135">
        <v>0.12750135000000001</v>
      </c>
      <c r="BR135">
        <v>-0.13230686</v>
      </c>
      <c r="BS135">
        <v>0.11599656</v>
      </c>
      <c r="BT135">
        <v>6.6852300000000003E-2</v>
      </c>
      <c r="BU135">
        <v>-2.8969055E-2</v>
      </c>
      <c r="BV135">
        <v>-8.7593660000000004E-2</v>
      </c>
      <c r="BW135">
        <v>8.8192426000000004E-2</v>
      </c>
      <c r="BX135">
        <v>-0.12009011999999999</v>
      </c>
      <c r="BY135">
        <v>1.3715741E-2</v>
      </c>
      <c r="BZ135">
        <v>0.12655706999999999</v>
      </c>
      <c r="CA135">
        <v>-1.4766471E-2</v>
      </c>
      <c r="CB135">
        <v>-3.2506186999999999E-2</v>
      </c>
      <c r="CC135">
        <v>-2.4771765000000001E-2</v>
      </c>
      <c r="CD135">
        <v>8.1461549999999994E-2</v>
      </c>
      <c r="CE135">
        <v>0.12430941</v>
      </c>
      <c r="CF135">
        <v>-7.1316950000000004E-2</v>
      </c>
      <c r="CG135">
        <v>0.15357067999999999</v>
      </c>
      <c r="CH135">
        <v>-7.4604770000000001E-2</v>
      </c>
      <c r="CI135">
        <v>-2.6592134999999999E-2</v>
      </c>
      <c r="CJ135">
        <v>-2.9186395E-3</v>
      </c>
      <c r="CK135">
        <v>2.0989064000000002E-2</v>
      </c>
      <c r="CL135">
        <v>-2.5629397000000002E-2</v>
      </c>
      <c r="CM135">
        <v>-8.9445140000000006E-2</v>
      </c>
      <c r="CN135">
        <v>-2.6054504999999999E-2</v>
      </c>
      <c r="CO135">
        <v>0.24385129</v>
      </c>
      <c r="CP135">
        <v>-5.871117E-2</v>
      </c>
      <c r="CQ135">
        <v>-1.0843647E-2</v>
      </c>
      <c r="CR135">
        <v>-5.8209915000000001E-2</v>
      </c>
      <c r="CS135">
        <v>-8.2020190000000007E-2</v>
      </c>
      <c r="CT135">
        <v>8.9207030000000007E-2</v>
      </c>
      <c r="CU135">
        <v>-9.9046339999999997E-2</v>
      </c>
      <c r="CV135">
        <v>2.1810928E-2</v>
      </c>
      <c r="CW135">
        <v>-8.5825970000000008E-3</v>
      </c>
      <c r="CX135">
        <v>-1.8613213999999999E-2</v>
      </c>
      <c r="CY135">
        <v>-5.1259366000000004E-3</v>
      </c>
      <c r="CZ135">
        <v>-4.0254787E-2</v>
      </c>
      <c r="DA135">
        <v>-0.12821858</v>
      </c>
      <c r="DB135">
        <v>0.16578238000000001</v>
      </c>
      <c r="DC135">
        <v>-0.101995274</v>
      </c>
      <c r="DD135">
        <v>0.11479151</v>
      </c>
      <c r="DE135">
        <v>0.17431343999999999</v>
      </c>
      <c r="DF135">
        <v>-0.10396458</v>
      </c>
      <c r="DG135">
        <v>6.2585269999999998E-2</v>
      </c>
      <c r="DH135">
        <v>1.3891234000000001E-2</v>
      </c>
      <c r="DI135">
        <v>7.9145400000000005E-2</v>
      </c>
      <c r="DJ135">
        <v>0.11652751</v>
      </c>
      <c r="DK135">
        <v>-4.0247752999999997E-2</v>
      </c>
      <c r="DL135">
        <v>-0.10168779</v>
      </c>
      <c r="DM135">
        <v>9.4003449999999992E-3</v>
      </c>
      <c r="DN135">
        <v>0.18320201</v>
      </c>
      <c r="DO135">
        <v>0.14920785</v>
      </c>
      <c r="DP135">
        <v>6.3053910000000005E-2</v>
      </c>
      <c r="DQ135">
        <v>-6.5063220000000005E-2</v>
      </c>
      <c r="DR135">
        <v>-9.3848539999999994E-2</v>
      </c>
      <c r="DS135">
        <v>-0.11380525</v>
      </c>
      <c r="DT135">
        <v>4.5651690000000002E-2</v>
      </c>
      <c r="DU135">
        <v>-0.15908169999999999</v>
      </c>
      <c r="DV135">
        <v>-6.4420389999999994E-2</v>
      </c>
      <c r="DW135">
        <v>-1.6944377E-2</v>
      </c>
      <c r="DX135">
        <v>-7.5843869999999994E-2</v>
      </c>
      <c r="DY135">
        <v>-4.1466369999999999E-3</v>
      </c>
      <c r="DZ135">
        <v>4.6498972999999999E-2</v>
      </c>
    </row>
    <row r="136" spans="1:130" x14ac:dyDescent="0.3">
      <c r="A136">
        <f>Board!$B$13</f>
        <v>0</v>
      </c>
      <c r="C136">
        <v>7.3288229999999999E-3</v>
      </c>
      <c r="D136">
        <v>0.14484537</v>
      </c>
      <c r="E136">
        <v>-2.5486729999999999E-2</v>
      </c>
      <c r="F136">
        <v>-0.1308126</v>
      </c>
      <c r="G136">
        <v>0.12871527999999999</v>
      </c>
      <c r="H136">
        <v>-8.6841299999999996E-2</v>
      </c>
      <c r="I136">
        <v>3.3052697999999998E-2</v>
      </c>
      <c r="J136">
        <v>0.11820900400000001</v>
      </c>
      <c r="K136">
        <v>4.5707119999999997E-2</v>
      </c>
      <c r="L136">
        <v>7.8864219999999999E-2</v>
      </c>
      <c r="M136">
        <v>-3.1074359999999999E-2</v>
      </c>
      <c r="N136">
        <v>-3.1456894999999999E-2</v>
      </c>
      <c r="O136">
        <v>8.1542370000000003E-2</v>
      </c>
      <c r="P136">
        <v>-5.5068575000000002E-2</v>
      </c>
      <c r="Q136">
        <v>-7.2894539999999994E-2</v>
      </c>
      <c r="R136">
        <v>7.9513739999999999E-2</v>
      </c>
      <c r="S136">
        <v>-2.6499084999999999E-2</v>
      </c>
      <c r="T136">
        <v>-0.12027009600000001</v>
      </c>
      <c r="U136">
        <v>-0.116282776</v>
      </c>
      <c r="V136">
        <v>2.3975521E-2</v>
      </c>
      <c r="W136">
        <v>7.1564912999999997E-3</v>
      </c>
      <c r="X136">
        <v>0.10943329</v>
      </c>
      <c r="Y136">
        <v>5.1783025000000003E-2</v>
      </c>
      <c r="Z136">
        <v>-4.7242590000000001E-2</v>
      </c>
      <c r="AA136">
        <v>-0.14247280000000001</v>
      </c>
      <c r="AB136">
        <v>1.0138571000000001E-2</v>
      </c>
      <c r="AC136">
        <v>-0.10644136</v>
      </c>
      <c r="AD136">
        <v>3.8001880000000002E-2</v>
      </c>
      <c r="AE136">
        <v>-6.3707979999999997E-2</v>
      </c>
      <c r="AF136">
        <v>3.0144125000000001E-2</v>
      </c>
      <c r="AG136">
        <v>-0.13041016</v>
      </c>
      <c r="AH136">
        <v>-1.9957826000000001E-2</v>
      </c>
      <c r="AI136">
        <v>7.8140940000000006E-3</v>
      </c>
      <c r="AJ136">
        <v>0.13040662</v>
      </c>
      <c r="AK136">
        <v>-7.9897599999999999E-2</v>
      </c>
      <c r="AL136">
        <v>1.5062779E-2</v>
      </c>
      <c r="AM136">
        <v>5.3222699999999998E-2</v>
      </c>
      <c r="AN136">
        <v>0.14352055999999999</v>
      </c>
      <c r="AO136">
        <v>-5.1032809999999998E-2</v>
      </c>
      <c r="AP136">
        <v>-0.11913119</v>
      </c>
      <c r="AQ136">
        <v>6.0190380000000002E-2</v>
      </c>
      <c r="AR136">
        <v>-8.1436746000000004E-2</v>
      </c>
      <c r="AS136">
        <v>-5.1553987000000003E-2</v>
      </c>
      <c r="AT136">
        <v>1.5158504E-2</v>
      </c>
      <c r="AU136">
        <v>-0.12424609</v>
      </c>
      <c r="AV136">
        <v>1.5363887E-2</v>
      </c>
      <c r="AW136">
        <v>-0.14687934999999999</v>
      </c>
      <c r="AX136">
        <v>-8.2460045999999999E-4</v>
      </c>
      <c r="AY136">
        <v>-3.7666081999999997E-2</v>
      </c>
      <c r="AZ136">
        <v>6.8607539999999995E-2</v>
      </c>
      <c r="BA136">
        <v>0.10021447999999999</v>
      </c>
      <c r="BB136">
        <v>6.326184E-2</v>
      </c>
      <c r="BC136">
        <v>0.14693859000000001</v>
      </c>
      <c r="BD136">
        <v>-8.3084039999999998E-2</v>
      </c>
      <c r="BE136">
        <v>-0.11956635</v>
      </c>
      <c r="BF136">
        <v>4.5448452E-2</v>
      </c>
      <c r="BG136">
        <v>-0.12190631</v>
      </c>
      <c r="BH136">
        <v>-8.8064980000000001E-2</v>
      </c>
      <c r="BI136">
        <v>3.9723917999999997E-2</v>
      </c>
      <c r="BJ136">
        <v>-0.11944497</v>
      </c>
      <c r="BK136">
        <v>-7.4302405E-3</v>
      </c>
      <c r="BL136">
        <v>2.4804130000000001E-2</v>
      </c>
      <c r="BM136">
        <v>8.3638180000000006E-2</v>
      </c>
      <c r="BN136">
        <v>1.3375059E-2</v>
      </c>
      <c r="BO136">
        <v>-4.4517435000000001E-2</v>
      </c>
      <c r="BP136">
        <v>2.3407399999999998E-2</v>
      </c>
      <c r="BQ136">
        <v>-1.7805993999999999E-2</v>
      </c>
      <c r="BR136">
        <v>1.7364576E-2</v>
      </c>
      <c r="BS136">
        <v>6.1901376000000001E-2</v>
      </c>
      <c r="BT136">
        <v>7.1227399999999998E-3</v>
      </c>
      <c r="BU136">
        <v>0.13178670000000001</v>
      </c>
      <c r="BV136">
        <v>-2.0235360000000001E-2</v>
      </c>
      <c r="BW136">
        <v>-7.4477926E-2</v>
      </c>
      <c r="BX136">
        <v>-0.12701200000000001</v>
      </c>
      <c r="BY136">
        <v>-3.5484231999999997E-2</v>
      </c>
      <c r="BZ136">
        <v>-5.8791280000000001E-2</v>
      </c>
      <c r="CA136">
        <v>1.3344243E-2</v>
      </c>
      <c r="CB136">
        <v>0.12087199</v>
      </c>
      <c r="CC136">
        <v>-3.8699604999999998E-2</v>
      </c>
      <c r="CD136">
        <v>-5.8017626000000003E-2</v>
      </c>
      <c r="CE136">
        <v>-5.9810101999999997E-2</v>
      </c>
      <c r="CF136">
        <v>-5.8582710000000003E-2</v>
      </c>
      <c r="CG136">
        <v>9.244521E-2</v>
      </c>
      <c r="CH136">
        <v>-0.100259766</v>
      </c>
      <c r="CI136">
        <v>-1.0538011999999999E-2</v>
      </c>
      <c r="CJ136">
        <v>-8.0873539999999994E-2</v>
      </c>
      <c r="CK136">
        <v>2.4515136999999999E-2</v>
      </c>
      <c r="CL136">
        <v>-1.0353237E-2</v>
      </c>
      <c r="CM136">
        <v>0.14446041000000001</v>
      </c>
      <c r="CN136">
        <v>-0.13401706999999999</v>
      </c>
      <c r="CO136">
        <v>-0.113058165</v>
      </c>
      <c r="CP136">
        <v>-0.14167967000000001</v>
      </c>
      <c r="CQ136">
        <v>-0.14588481</v>
      </c>
      <c r="CR136">
        <v>6.9707320000000003E-2</v>
      </c>
      <c r="CS136">
        <v>-6.2436319999999997E-2</v>
      </c>
      <c r="CT136">
        <v>-2.2048056E-2</v>
      </c>
      <c r="CU136">
        <v>-8.3908536000000006E-2</v>
      </c>
      <c r="CV136">
        <v>-7.7457750000000006E-2</v>
      </c>
      <c r="CW136">
        <v>8.1923960000000004E-2</v>
      </c>
      <c r="CX136">
        <v>-0.12170673999999999</v>
      </c>
      <c r="CY136">
        <v>3.001526E-3</v>
      </c>
      <c r="CZ136">
        <v>0.11419981999999999</v>
      </c>
      <c r="DA136">
        <v>-0.12595882</v>
      </c>
      <c r="DB136">
        <v>-0.12559008999999999</v>
      </c>
      <c r="DC136">
        <v>-0.11546334599999999</v>
      </c>
      <c r="DD136">
        <v>9.2816099999999999E-2</v>
      </c>
      <c r="DE136">
        <v>-2.0407855999999999E-2</v>
      </c>
      <c r="DF136">
        <v>-6.8052699999999994E-2</v>
      </c>
      <c r="DG136">
        <v>-5.6278585999999999E-2</v>
      </c>
      <c r="DH136">
        <v>-0.10915979000000001</v>
      </c>
      <c r="DI136">
        <v>8.7778640000000005E-2</v>
      </c>
      <c r="DJ136">
        <v>0.11004484</v>
      </c>
      <c r="DK136">
        <v>2.3430243E-2</v>
      </c>
      <c r="DL136">
        <v>-7.5846540000000004E-2</v>
      </c>
      <c r="DM136">
        <v>7.8212589999999999E-2</v>
      </c>
      <c r="DN136">
        <v>-6.1073408000000003E-2</v>
      </c>
      <c r="DO136">
        <v>9.1663750000000002E-2</v>
      </c>
      <c r="DP136">
        <v>0.13404342999999999</v>
      </c>
      <c r="DQ136">
        <v>0.14667854</v>
      </c>
      <c r="DR136">
        <v>0.10868353</v>
      </c>
      <c r="DS136">
        <v>-1.7457127999999999E-2</v>
      </c>
      <c r="DT136">
        <v>-8.1957630000000004E-2</v>
      </c>
      <c r="DU136">
        <v>6.8502199999999999E-2</v>
      </c>
      <c r="DV136">
        <v>8.9680894999999997E-2</v>
      </c>
      <c r="DW136">
        <v>1.6873926000000001E-2</v>
      </c>
      <c r="DX136">
        <v>0.13103738000000001</v>
      </c>
      <c r="DY136">
        <v>9.8024264E-2</v>
      </c>
      <c r="DZ136">
        <v>-7.1916579999999994E-2</v>
      </c>
    </row>
    <row r="137" spans="1:130" x14ac:dyDescent="0.3">
      <c r="A137">
        <f>Board!$C$13</f>
        <v>0</v>
      </c>
      <c r="C137">
        <v>-2.7083731999999999E-2</v>
      </c>
      <c r="D137">
        <v>-0.19428688</v>
      </c>
      <c r="E137">
        <v>-0.2611948</v>
      </c>
      <c r="F137">
        <v>-0.119476885</v>
      </c>
      <c r="G137">
        <v>-9.0671465000000007E-2</v>
      </c>
      <c r="H137">
        <v>5.3106610000000004E-3</v>
      </c>
      <c r="I137">
        <v>-0.18956317</v>
      </c>
      <c r="J137">
        <v>1.9618573E-2</v>
      </c>
      <c r="K137">
        <v>-6.0187813E-2</v>
      </c>
      <c r="L137">
        <v>-0.13353519999999999</v>
      </c>
      <c r="M137">
        <v>5.8321953000000003E-2</v>
      </c>
      <c r="N137">
        <v>-0.14566883</v>
      </c>
      <c r="O137">
        <v>0.21107966</v>
      </c>
      <c r="P137">
        <v>5.3257823000000003E-2</v>
      </c>
      <c r="Q137">
        <v>3.7761923000000003E-2</v>
      </c>
      <c r="R137">
        <v>-7.6623790000000004E-3</v>
      </c>
      <c r="S137">
        <v>0.12502632999999999</v>
      </c>
      <c r="T137">
        <v>5.8640449999999997E-2</v>
      </c>
      <c r="U137">
        <v>-7.1625434000000002E-2</v>
      </c>
      <c r="V137">
        <v>8.7742550000000002E-2</v>
      </c>
      <c r="W137">
        <v>0.15823977</v>
      </c>
      <c r="X137">
        <v>9.4371399999999994E-2</v>
      </c>
      <c r="Y137">
        <v>5.8138330000000002E-2</v>
      </c>
      <c r="Z137">
        <v>2.8135055999999999E-2</v>
      </c>
      <c r="AA137">
        <v>6.6242096999999996E-3</v>
      </c>
      <c r="AB137">
        <v>-0.20696159</v>
      </c>
      <c r="AC137">
        <v>0.14236338000000001</v>
      </c>
      <c r="AD137">
        <v>1.1512067000000001E-2</v>
      </c>
      <c r="AE137">
        <v>-2.6767023000000001E-2</v>
      </c>
      <c r="AF137">
        <v>-7.9430470000000003E-2</v>
      </c>
      <c r="AG137">
        <v>0.17617321</v>
      </c>
      <c r="AH137">
        <v>-0.16417892000000001</v>
      </c>
      <c r="AI137">
        <v>7.4507900000000002E-2</v>
      </c>
      <c r="AJ137">
        <v>-2.0458589999999999E-2</v>
      </c>
      <c r="AK137">
        <v>2.6260164999999999E-2</v>
      </c>
      <c r="AL137">
        <v>-2.0629796999999998E-2</v>
      </c>
      <c r="AM137">
        <v>-6.2990550000000006E-2</v>
      </c>
      <c r="AN137">
        <v>5.8595683000000003E-2</v>
      </c>
      <c r="AO137">
        <v>0.13533479000000001</v>
      </c>
      <c r="AP137">
        <v>-0.12788211999999999</v>
      </c>
      <c r="AQ137">
        <v>5.0627739999999999E-3</v>
      </c>
      <c r="AR137">
        <v>0.18687931999999999</v>
      </c>
      <c r="AS137">
        <v>-0.11203446</v>
      </c>
      <c r="AT137">
        <v>-9.4136510000000007E-2</v>
      </c>
      <c r="AU137">
        <v>7.5068949999999995E-2</v>
      </c>
      <c r="AV137">
        <v>0.19855447000000001</v>
      </c>
      <c r="AW137">
        <v>0.29633984000000002</v>
      </c>
      <c r="AX137">
        <v>-4.4550892000000002E-2</v>
      </c>
      <c r="AY137">
        <v>-0.106916256</v>
      </c>
      <c r="AZ137">
        <v>2.3524185999999999E-2</v>
      </c>
      <c r="BA137">
        <v>-0.16697110000000001</v>
      </c>
      <c r="BB137">
        <v>0.16001470000000001</v>
      </c>
      <c r="BC137">
        <v>-7.112243E-2</v>
      </c>
      <c r="BD137">
        <v>-0.14092732999999999</v>
      </c>
      <c r="BE137">
        <v>-9.1943449999999996E-2</v>
      </c>
      <c r="BF137">
        <v>-3.5804460000000001E-3</v>
      </c>
      <c r="BG137">
        <v>-9.9371340000000002E-2</v>
      </c>
      <c r="BH137">
        <v>-0.13876039000000001</v>
      </c>
      <c r="BI137">
        <v>-0.17461146</v>
      </c>
      <c r="BJ137">
        <v>-4.1641980000000002E-2</v>
      </c>
      <c r="BK137">
        <v>3.2136127E-2</v>
      </c>
      <c r="BL137">
        <v>-2.2881057E-2</v>
      </c>
      <c r="BM137">
        <v>2.3284889999999999E-2</v>
      </c>
      <c r="BN137">
        <v>6.1489385999999998E-3</v>
      </c>
      <c r="BO137">
        <v>0.19521564</v>
      </c>
      <c r="BP137">
        <v>0.12637016000000001</v>
      </c>
      <c r="BQ137">
        <v>-7.198996E-3</v>
      </c>
      <c r="BR137">
        <v>-9.6733230000000003E-2</v>
      </c>
      <c r="BS137">
        <v>-0.21083294999999999</v>
      </c>
      <c r="BT137">
        <v>-6.66712E-2</v>
      </c>
      <c r="BU137">
        <v>-0.14377371999999999</v>
      </c>
      <c r="BV137">
        <v>-6.5721354999999995E-2</v>
      </c>
      <c r="BW137">
        <v>0.12324357</v>
      </c>
      <c r="BX137">
        <v>-0.18194726</v>
      </c>
      <c r="BY137">
        <v>-0.13966475</v>
      </c>
      <c r="BZ137">
        <v>-6.8323449999999994E-2</v>
      </c>
      <c r="CA137">
        <v>4.8469989999999998E-2</v>
      </c>
      <c r="CB137">
        <v>0.14391688999999999</v>
      </c>
      <c r="CC137">
        <v>8.3138989999999996E-2</v>
      </c>
      <c r="CD137">
        <v>4.9455146999999998E-2</v>
      </c>
      <c r="CE137">
        <v>6.5995470000000001E-2</v>
      </c>
      <c r="CF137">
        <v>0.1029949</v>
      </c>
      <c r="CG137">
        <v>0.20969135999999999</v>
      </c>
      <c r="CH137">
        <v>0.17562570999999999</v>
      </c>
      <c r="CI137">
        <v>7.1687095000000006E-2</v>
      </c>
      <c r="CJ137">
        <v>-3.1628333000000002E-2</v>
      </c>
      <c r="CK137">
        <v>-7.6113194000000002E-3</v>
      </c>
      <c r="CL137">
        <v>-0.12191492</v>
      </c>
      <c r="CM137">
        <v>8.5228159999999997E-2</v>
      </c>
      <c r="CN137">
        <v>0.123500995</v>
      </c>
      <c r="CO137">
        <v>-0.12739634999999999</v>
      </c>
      <c r="CP137">
        <v>-6.2332578E-2</v>
      </c>
      <c r="CQ137">
        <v>-7.1109495999999994E-2</v>
      </c>
      <c r="CR137">
        <v>-0.14263500000000001</v>
      </c>
      <c r="CS137">
        <v>0.18071823000000001</v>
      </c>
      <c r="CT137">
        <v>4.6309540000000003E-2</v>
      </c>
      <c r="CU137">
        <v>1.7241530000000001E-2</v>
      </c>
      <c r="CV137">
        <v>-4.6368270000000003E-2</v>
      </c>
      <c r="CW137">
        <v>0.15261889000000001</v>
      </c>
      <c r="CX137">
        <v>-0.10663966</v>
      </c>
      <c r="CY137">
        <v>0.105909735</v>
      </c>
      <c r="CZ137">
        <v>9.9658949999999996E-2</v>
      </c>
      <c r="DA137">
        <v>-0.19304603000000001</v>
      </c>
      <c r="DB137">
        <v>0.11622064999999999</v>
      </c>
      <c r="DC137">
        <v>9.8522689999999996E-2</v>
      </c>
      <c r="DD137">
        <v>-8.6145730000000004E-2</v>
      </c>
      <c r="DE137">
        <v>-7.1815149999999994E-2</v>
      </c>
      <c r="DF137">
        <v>0.16763179</v>
      </c>
      <c r="DG137">
        <v>0.27929226000000001</v>
      </c>
      <c r="DH137">
        <v>-0.18012016</v>
      </c>
      <c r="DI137">
        <v>0.13524109000000001</v>
      </c>
      <c r="DJ137">
        <v>2.2878058E-2</v>
      </c>
      <c r="DK137">
        <v>0.28607094</v>
      </c>
      <c r="DL137">
        <v>2.4488541999999999E-2</v>
      </c>
      <c r="DM137">
        <v>-2.0010883E-2</v>
      </c>
      <c r="DN137">
        <v>-0.15383641000000001</v>
      </c>
      <c r="DO137">
        <v>-0.14527282</v>
      </c>
      <c r="DP137">
        <v>-0.12727088</v>
      </c>
      <c r="DQ137">
        <v>0.1359718</v>
      </c>
      <c r="DR137">
        <v>-6.4777754000000007E-2</v>
      </c>
      <c r="DS137">
        <v>0.21861765999999999</v>
      </c>
      <c r="DT137">
        <v>3.6510269999999997E-2</v>
      </c>
      <c r="DU137">
        <v>-0.25179980000000002</v>
      </c>
      <c r="DV137">
        <v>0.25484210000000002</v>
      </c>
      <c r="DW137">
        <v>0.10833864999999999</v>
      </c>
      <c r="DX137">
        <v>0.13823672000000001</v>
      </c>
      <c r="DY137">
        <v>0.11087292999999999</v>
      </c>
      <c r="DZ137">
        <v>-2.8191937E-2</v>
      </c>
    </row>
    <row r="138" spans="1:130" x14ac:dyDescent="0.3">
      <c r="A138">
        <f>Board!$D$13</f>
        <v>0</v>
      </c>
      <c r="C138">
        <v>3.796778E-2</v>
      </c>
      <c r="D138">
        <v>-0.44368616</v>
      </c>
      <c r="E138">
        <v>-0.19474127999999999</v>
      </c>
      <c r="F138">
        <v>-0.12824383</v>
      </c>
      <c r="G138">
        <v>2.0164062999999999E-2</v>
      </c>
      <c r="H138">
        <v>-2.4023441999999999E-2</v>
      </c>
      <c r="I138">
        <v>-0.29529017000000002</v>
      </c>
      <c r="J138">
        <v>0.12023069</v>
      </c>
      <c r="K138">
        <v>-0.27005509999999999</v>
      </c>
      <c r="L138">
        <v>1.6105138000000001E-2</v>
      </c>
      <c r="M138">
        <v>-5.8353059999999998E-2</v>
      </c>
      <c r="N138">
        <v>-0.25245684000000002</v>
      </c>
      <c r="O138">
        <v>0.25177902000000002</v>
      </c>
      <c r="P138">
        <v>0.20584791999999999</v>
      </c>
      <c r="Q138">
        <v>0.11571665</v>
      </c>
      <c r="R138">
        <v>-2.7118366000000001E-2</v>
      </c>
      <c r="S138">
        <v>8.7730005E-2</v>
      </c>
      <c r="T138">
        <v>0.17941177999999999</v>
      </c>
      <c r="U138">
        <v>2.0467516000000002E-2</v>
      </c>
      <c r="V138">
        <v>0.12927821</v>
      </c>
      <c r="W138">
        <v>0.14653369999999999</v>
      </c>
      <c r="X138">
        <v>5.2186135000000002E-2</v>
      </c>
      <c r="Y138">
        <v>3.0914797000000001E-2</v>
      </c>
      <c r="Z138">
        <v>9.2692280000000002E-2</v>
      </c>
      <c r="AA138">
        <v>0.1892257</v>
      </c>
      <c r="AB138">
        <v>1.416649E-2</v>
      </c>
      <c r="AC138">
        <v>-6.3419394000000004E-2</v>
      </c>
      <c r="AD138">
        <v>0.19952591</v>
      </c>
      <c r="AE138">
        <v>-0.36281252000000003</v>
      </c>
      <c r="AF138">
        <v>-0.17824358000000001</v>
      </c>
      <c r="AG138">
        <v>-7.4384480000000003E-2</v>
      </c>
      <c r="AH138">
        <v>-8.7483270000000002E-2</v>
      </c>
      <c r="AI138">
        <v>0.18508926000000001</v>
      </c>
      <c r="AJ138">
        <v>1.433858E-2</v>
      </c>
      <c r="AK138">
        <v>-7.7864719999999998E-2</v>
      </c>
      <c r="AL138">
        <v>-5.0107364000000001E-2</v>
      </c>
      <c r="AM138">
        <v>9.3824119999999997E-2</v>
      </c>
      <c r="AN138">
        <v>0.34013255999999997</v>
      </c>
      <c r="AO138">
        <v>0.58913106000000004</v>
      </c>
      <c r="AP138">
        <v>0.16167556</v>
      </c>
      <c r="AQ138">
        <v>-0.25320417000000001</v>
      </c>
      <c r="AR138">
        <v>7.0221770000000003E-2</v>
      </c>
      <c r="AS138">
        <v>-0.26742759999999999</v>
      </c>
      <c r="AT138">
        <v>-0.15270718999999999</v>
      </c>
      <c r="AU138">
        <v>0.13887405</v>
      </c>
      <c r="AV138">
        <v>8.8938123999999993E-2</v>
      </c>
      <c r="AW138">
        <v>-0.14137717</v>
      </c>
      <c r="AX138">
        <v>-0.15801746999999999</v>
      </c>
      <c r="AY138">
        <v>-8.4958829999999999E-2</v>
      </c>
      <c r="AZ138">
        <v>0.22841325000000001</v>
      </c>
      <c r="BA138">
        <v>-0.42849058000000001</v>
      </c>
      <c r="BB138">
        <v>0.26486539999999997</v>
      </c>
      <c r="BC138">
        <v>-3.7991012999999997E-2</v>
      </c>
      <c r="BD138">
        <v>-0.3465839</v>
      </c>
      <c r="BE138">
        <v>-8.4037500000000001E-2</v>
      </c>
      <c r="BF138">
        <v>2.8037287000000001E-2</v>
      </c>
      <c r="BG138">
        <v>6.077693E-2</v>
      </c>
      <c r="BH138">
        <v>-6.1787124999999998E-2</v>
      </c>
      <c r="BI138">
        <v>-7.9686770000000004E-2</v>
      </c>
      <c r="BJ138">
        <v>-1.1274971999999999E-2</v>
      </c>
      <c r="BK138">
        <v>-1.5000917000000001E-2</v>
      </c>
      <c r="BL138">
        <v>0.15365149</v>
      </c>
      <c r="BM138">
        <v>-3.8940414999999999E-2</v>
      </c>
      <c r="BN138">
        <v>7.0573349999999997E-3</v>
      </c>
      <c r="BO138">
        <v>1.6694580000000001E-2</v>
      </c>
      <c r="BP138">
        <v>7.2872259999999994E-2</v>
      </c>
      <c r="BQ138">
        <v>0.1171743</v>
      </c>
      <c r="BR138">
        <v>-0.27450675000000002</v>
      </c>
      <c r="BS138">
        <v>-0.20582774000000001</v>
      </c>
      <c r="BT138">
        <v>-0.17110811000000001</v>
      </c>
      <c r="BU138">
        <v>-0.13088946000000001</v>
      </c>
      <c r="BV138">
        <v>0.11566485999999999</v>
      </c>
      <c r="BW138">
        <v>-6.2471609999999997E-2</v>
      </c>
      <c r="BX138">
        <v>-8.6260684000000004E-2</v>
      </c>
      <c r="BY138">
        <v>-0.16968923999999999</v>
      </c>
      <c r="BZ138">
        <v>-0.27003047000000002</v>
      </c>
      <c r="CA138">
        <v>0.27015853000000001</v>
      </c>
      <c r="CB138">
        <v>2.1473593999999999E-2</v>
      </c>
      <c r="CC138">
        <v>5.1485382000000003E-2</v>
      </c>
      <c r="CD138">
        <v>0.11534098499999999</v>
      </c>
      <c r="CE138">
        <v>-0.17646322</v>
      </c>
      <c r="CF138">
        <v>0.33325690000000002</v>
      </c>
      <c r="CG138">
        <v>0.13846501999999999</v>
      </c>
      <c r="CH138">
        <v>-2.5020807999999999E-2</v>
      </c>
      <c r="CI138">
        <v>0.11867793</v>
      </c>
      <c r="CJ138">
        <v>9.950291E-2</v>
      </c>
      <c r="CK138">
        <v>4.1857595999999997E-2</v>
      </c>
      <c r="CL138">
        <v>-2.2438994E-2</v>
      </c>
      <c r="CM138">
        <v>1.6286353E-2</v>
      </c>
      <c r="CN138">
        <v>5.1077020000000001E-2</v>
      </c>
      <c r="CO138">
        <v>-0.34509995999999998</v>
      </c>
      <c r="CP138">
        <v>-3.5916156999999997E-2</v>
      </c>
      <c r="CQ138">
        <v>5.6934464999999997E-2</v>
      </c>
      <c r="CR138">
        <v>-0.15735415</v>
      </c>
      <c r="CS138">
        <v>0.18822900000000001</v>
      </c>
      <c r="CT138">
        <v>0.12296242</v>
      </c>
      <c r="CU138">
        <v>-0.10705691000000001</v>
      </c>
      <c r="CV138">
        <v>-8.1530350000000001E-2</v>
      </c>
      <c r="CW138">
        <v>0.20827225999999999</v>
      </c>
      <c r="CX138">
        <v>3.4551233000000001E-2</v>
      </c>
      <c r="CY138">
        <v>0.28527101999999999</v>
      </c>
      <c r="CZ138">
        <v>-5.5275141999999999E-2</v>
      </c>
      <c r="DA138">
        <v>-0.11747444999999999</v>
      </c>
      <c r="DB138">
        <v>0.42752554999999998</v>
      </c>
      <c r="DC138">
        <v>-0.17101063</v>
      </c>
      <c r="DD138">
        <v>-8.8136530000000005E-2</v>
      </c>
      <c r="DE138">
        <v>5.6134805000000003E-2</v>
      </c>
      <c r="DF138">
        <v>4.8718686999999997E-2</v>
      </c>
      <c r="DG138">
        <v>0.20894425</v>
      </c>
      <c r="DH138">
        <v>-5.1564543999999997E-2</v>
      </c>
      <c r="DI138">
        <v>-4.5561098000000001E-2</v>
      </c>
      <c r="DJ138">
        <v>-3.5803210000000002E-2</v>
      </c>
      <c r="DK138">
        <v>0.39117908000000001</v>
      </c>
      <c r="DL138">
        <v>0.10290861</v>
      </c>
      <c r="DM138">
        <v>-0.10319486999999999</v>
      </c>
      <c r="DN138">
        <v>5.3435415E-3</v>
      </c>
      <c r="DO138">
        <v>-0.25665480000000002</v>
      </c>
      <c r="DP138">
        <v>6.9835004000000003E-3</v>
      </c>
      <c r="DQ138">
        <v>0.30931824000000002</v>
      </c>
      <c r="DR138">
        <v>5.2152120000000003E-2</v>
      </c>
      <c r="DS138">
        <v>2.6695050000000001E-2</v>
      </c>
      <c r="DT138">
        <v>-0.24722236</v>
      </c>
      <c r="DU138">
        <v>-3.5978278999999999E-3</v>
      </c>
      <c r="DV138">
        <v>0.15340123999999999</v>
      </c>
      <c r="DW138">
        <v>0.13129874</v>
      </c>
      <c r="DX138">
        <v>7.9044760000000006E-3</v>
      </c>
      <c r="DY138">
        <v>5.2319829999999998E-2</v>
      </c>
      <c r="DZ138">
        <v>0.24817239999999999</v>
      </c>
    </row>
    <row r="139" spans="1:130" x14ac:dyDescent="0.3">
      <c r="A139">
        <f>Board!$E$13</f>
        <v>0</v>
      </c>
      <c r="C139">
        <v>9.1039090000000003E-2</v>
      </c>
      <c r="D139">
        <v>-0.20727213</v>
      </c>
      <c r="E139">
        <v>-0.25106537000000001</v>
      </c>
      <c r="F139">
        <v>-6.3783229999999996E-2</v>
      </c>
      <c r="G139">
        <v>0.1293657</v>
      </c>
      <c r="H139">
        <v>1.6422368999999999E-2</v>
      </c>
      <c r="I139">
        <v>-0.17746308</v>
      </c>
      <c r="J139">
        <v>1.8094081000000001E-2</v>
      </c>
      <c r="K139">
        <v>-9.5060770000000003E-2</v>
      </c>
      <c r="L139">
        <v>1.6086267000000001E-2</v>
      </c>
      <c r="M139">
        <v>0.28682235</v>
      </c>
      <c r="N139">
        <v>-0.43007803</v>
      </c>
      <c r="O139">
        <v>0.29499345999999999</v>
      </c>
      <c r="P139">
        <v>8.4295709999999996E-2</v>
      </c>
      <c r="Q139">
        <v>0.119734906</v>
      </c>
      <c r="R139">
        <v>0.12569140000000001</v>
      </c>
      <c r="S139">
        <v>0.27276102000000002</v>
      </c>
      <c r="T139">
        <v>0.15127636</v>
      </c>
      <c r="U139">
        <v>-0.10629082500000001</v>
      </c>
      <c r="V139">
        <v>0.14802939000000001</v>
      </c>
      <c r="W139">
        <v>0.12966178</v>
      </c>
      <c r="X139">
        <v>3.0044676E-4</v>
      </c>
      <c r="Y139">
        <v>-5.0632089999999999E-3</v>
      </c>
      <c r="Z139">
        <v>5.1868076999999999E-2</v>
      </c>
      <c r="AA139">
        <v>0.30688306999999998</v>
      </c>
      <c r="AB139">
        <v>0.120537855</v>
      </c>
      <c r="AC139">
        <v>-0.30563459999999998</v>
      </c>
      <c r="AD139">
        <v>0.13578593999999999</v>
      </c>
      <c r="AE139">
        <v>-0.27966649999999998</v>
      </c>
      <c r="AF139">
        <v>0.17005792</v>
      </c>
      <c r="AG139">
        <v>6.7857705000000004E-2</v>
      </c>
      <c r="AH139">
        <v>3.5374349999999998E-3</v>
      </c>
      <c r="AI139">
        <v>-4.4628306999999999E-2</v>
      </c>
      <c r="AJ139">
        <v>0.18504353000000001</v>
      </c>
      <c r="AK139">
        <v>-0.21085293999999999</v>
      </c>
      <c r="AL139">
        <v>0.10852038</v>
      </c>
      <c r="AM139">
        <v>3.4376080000000003E-2</v>
      </c>
      <c r="AN139">
        <v>0.45609060000000001</v>
      </c>
      <c r="AO139">
        <v>0.55591356999999997</v>
      </c>
      <c r="AP139">
        <v>-1.3931623000000001E-2</v>
      </c>
      <c r="AQ139">
        <v>0.124971345</v>
      </c>
      <c r="AR139">
        <v>7.9591330000000002E-2</v>
      </c>
      <c r="AS139">
        <v>-0.14933236</v>
      </c>
      <c r="AT139">
        <v>-0.20900774999999999</v>
      </c>
      <c r="AU139">
        <v>0.32919946</v>
      </c>
      <c r="AV139">
        <v>0.22762692000000001</v>
      </c>
      <c r="AW139">
        <v>2.5837736E-2</v>
      </c>
      <c r="AX139">
        <v>3.3412520000000001E-2</v>
      </c>
      <c r="AY139">
        <v>-0.22284018</v>
      </c>
      <c r="AZ139">
        <v>0.15766347999999999</v>
      </c>
      <c r="BA139">
        <v>-0.4136512</v>
      </c>
      <c r="BB139">
        <v>0.15489220000000001</v>
      </c>
      <c r="BC139">
        <v>5.7665326000000003E-2</v>
      </c>
      <c r="BD139">
        <v>-0.24053736000000001</v>
      </c>
      <c r="BE139">
        <v>7.2139320000000007E-2</v>
      </c>
      <c r="BF139">
        <v>0.14729315000000001</v>
      </c>
      <c r="BG139">
        <v>4.0833224000000001E-2</v>
      </c>
      <c r="BH139">
        <v>-0.10970645399999999</v>
      </c>
      <c r="BI139">
        <v>5.1299117999999998E-2</v>
      </c>
      <c r="BJ139">
        <v>-3.2981545000000001E-2</v>
      </c>
      <c r="BK139">
        <v>0.20134963</v>
      </c>
      <c r="BL139">
        <v>0.13715568</v>
      </c>
      <c r="BM139">
        <v>6.0246974000000002E-2</v>
      </c>
      <c r="BN139">
        <v>-1.5681785E-2</v>
      </c>
      <c r="BO139">
        <v>-9.608295E-2</v>
      </c>
      <c r="BP139">
        <v>9.2434299999999997E-2</v>
      </c>
      <c r="BQ139">
        <v>-5.5159307999999997E-2</v>
      </c>
      <c r="BR139">
        <v>-3.117112E-2</v>
      </c>
      <c r="BS139">
        <v>-0.29838562000000002</v>
      </c>
      <c r="BT139">
        <v>-7.1573763999999998E-2</v>
      </c>
      <c r="BU139">
        <v>-0.10003118</v>
      </c>
      <c r="BV139">
        <v>-9.1115180000000004E-2</v>
      </c>
      <c r="BW139">
        <v>-5.2347603999999999E-2</v>
      </c>
      <c r="BX139">
        <v>-9.6388409999999994E-2</v>
      </c>
      <c r="BY139">
        <v>-0.30691877000000001</v>
      </c>
      <c r="BZ139">
        <v>-0.19063090999999999</v>
      </c>
      <c r="CA139">
        <v>0.21001520000000001</v>
      </c>
      <c r="CB139">
        <v>-7.5793974E-2</v>
      </c>
      <c r="CC139">
        <v>0.12795403999999999</v>
      </c>
      <c r="CD139">
        <v>0.43679365999999997</v>
      </c>
      <c r="CE139">
        <v>-0.25872874000000001</v>
      </c>
      <c r="CF139">
        <v>-5.4875303E-2</v>
      </c>
      <c r="CG139">
        <v>-2.5660552E-2</v>
      </c>
      <c r="CH139">
        <v>-0.13586514999999999</v>
      </c>
      <c r="CI139">
        <v>0.16621235000000001</v>
      </c>
      <c r="CJ139">
        <v>-0.32260949999999999</v>
      </c>
      <c r="CK139">
        <v>0.29882646000000002</v>
      </c>
      <c r="CL139">
        <v>0.2735862</v>
      </c>
      <c r="CM139">
        <v>-3.4358166000000002E-2</v>
      </c>
      <c r="CN139">
        <v>0.16306989</v>
      </c>
      <c r="CO139">
        <v>-0.15101786</v>
      </c>
      <c r="CP139">
        <v>-0.28611757999999998</v>
      </c>
      <c r="CQ139">
        <v>-9.3459219999999996E-3</v>
      </c>
      <c r="CR139">
        <v>-0.38703149999999997</v>
      </c>
      <c r="CS139">
        <v>6.1798989999999998E-2</v>
      </c>
      <c r="CT139">
        <v>0.23351373</v>
      </c>
      <c r="CU139">
        <v>0.13697556999999999</v>
      </c>
      <c r="CV139">
        <v>9.3805449999999999E-2</v>
      </c>
      <c r="CW139">
        <v>0.21608315</v>
      </c>
      <c r="CX139">
        <v>0.11327367000000001</v>
      </c>
      <c r="CY139">
        <v>-1.8326902999999999E-2</v>
      </c>
      <c r="CZ139">
        <v>0.18418393</v>
      </c>
      <c r="DA139">
        <v>2.4421933999999999E-2</v>
      </c>
      <c r="DB139">
        <v>0.21842404000000001</v>
      </c>
      <c r="DC139">
        <v>-0.18766426</v>
      </c>
      <c r="DD139">
        <v>0.10639235</v>
      </c>
      <c r="DE139">
        <v>-1.0302713E-3</v>
      </c>
      <c r="DF139">
        <v>-5.3748120000000003E-2</v>
      </c>
      <c r="DG139">
        <v>0.15216937999999999</v>
      </c>
      <c r="DH139">
        <v>-0.20633756</v>
      </c>
      <c r="DI139">
        <v>0.13047475</v>
      </c>
      <c r="DJ139">
        <v>-7.7334784000000004E-2</v>
      </c>
      <c r="DK139">
        <v>0.3451187</v>
      </c>
      <c r="DL139">
        <v>0.11504253</v>
      </c>
      <c r="DM139">
        <v>-0.12861474000000001</v>
      </c>
      <c r="DN139">
        <v>5.9203420000000003E-3</v>
      </c>
      <c r="DO139">
        <v>-0.25548372000000003</v>
      </c>
      <c r="DP139">
        <v>-0.26419616000000001</v>
      </c>
      <c r="DQ139">
        <v>0.3153725</v>
      </c>
      <c r="DR139">
        <v>4.4201005000000002E-2</v>
      </c>
      <c r="DS139">
        <v>2.829545E-2</v>
      </c>
      <c r="DT139">
        <v>-0.13831637999999999</v>
      </c>
      <c r="DU139">
        <v>5.5569443E-3</v>
      </c>
      <c r="DV139">
        <v>2.9262026999999999E-2</v>
      </c>
      <c r="DW139">
        <v>0.13143593000000001</v>
      </c>
      <c r="DX139">
        <v>0.13831472</v>
      </c>
      <c r="DY139">
        <v>0.15493624</v>
      </c>
      <c r="DZ139">
        <v>0.14215597999999999</v>
      </c>
    </row>
    <row r="140" spans="1:130" x14ac:dyDescent="0.3">
      <c r="A140">
        <f>Board!$F$13</f>
        <v>0</v>
      </c>
      <c r="C140">
        <v>0.14999372</v>
      </c>
      <c r="D140">
        <v>0.16024095999999999</v>
      </c>
      <c r="E140">
        <v>-0.1008269</v>
      </c>
      <c r="F140">
        <v>-0.44854280000000002</v>
      </c>
      <c r="G140">
        <v>9.9451669999999995E-3</v>
      </c>
      <c r="H140">
        <v>0.1155772</v>
      </c>
      <c r="I140">
        <v>-6.5280244000000001E-2</v>
      </c>
      <c r="J140">
        <v>4.9998354000000002E-2</v>
      </c>
      <c r="K140">
        <v>-1.0742279E-2</v>
      </c>
      <c r="L140">
        <v>-5.4568579999999998E-2</v>
      </c>
      <c r="M140">
        <v>0.1609853</v>
      </c>
      <c r="N140">
        <v>-0.55063456</v>
      </c>
      <c r="O140">
        <v>0.35820916000000003</v>
      </c>
      <c r="P140">
        <v>0.1319206</v>
      </c>
      <c r="Q140">
        <v>3.9100856000000003E-2</v>
      </c>
      <c r="R140">
        <v>0.15401348000000001</v>
      </c>
      <c r="S140">
        <v>0.19071825000000001</v>
      </c>
      <c r="T140">
        <v>0.25743769999999999</v>
      </c>
      <c r="U140">
        <v>-8.3604819999999996E-2</v>
      </c>
      <c r="V140">
        <v>0.31773364999999998</v>
      </c>
      <c r="W140">
        <v>5.0116266999999999E-2</v>
      </c>
      <c r="X140">
        <v>0.16444934999999999</v>
      </c>
      <c r="Y140">
        <v>-1.3938357E-2</v>
      </c>
      <c r="Z140">
        <v>9.44382E-2</v>
      </c>
      <c r="AA140">
        <v>0.33305610000000002</v>
      </c>
      <c r="AB140">
        <v>0.18677183999999999</v>
      </c>
      <c r="AC140">
        <v>-0.25987136</v>
      </c>
      <c r="AD140">
        <v>0.1242293</v>
      </c>
      <c r="AE140">
        <v>2.1398492000000002E-2</v>
      </c>
      <c r="AF140">
        <v>-6.6308039999999999E-2</v>
      </c>
      <c r="AG140">
        <v>-0.20657575</v>
      </c>
      <c r="AH140">
        <v>6.5785825000000006E-2</v>
      </c>
      <c r="AI140">
        <v>-2.7948029999999999E-2</v>
      </c>
      <c r="AJ140">
        <v>0.18171655</v>
      </c>
      <c r="AK140">
        <v>-0.48174483000000001</v>
      </c>
      <c r="AL140">
        <v>0.10266343999999999</v>
      </c>
      <c r="AM140">
        <v>-0.20868303999999999</v>
      </c>
      <c r="AN140">
        <v>0.34142430000000001</v>
      </c>
      <c r="AO140">
        <v>0.68184405999999997</v>
      </c>
      <c r="AP140">
        <v>-0.10528435999999999</v>
      </c>
      <c r="AQ140">
        <v>0.1602565</v>
      </c>
      <c r="AR140">
        <v>0.19268183</v>
      </c>
      <c r="AS140">
        <v>-4.7259558E-2</v>
      </c>
      <c r="AT140">
        <v>-0.36417870000000002</v>
      </c>
      <c r="AU140">
        <v>0.27537897</v>
      </c>
      <c r="AV140">
        <v>0.32240447</v>
      </c>
      <c r="AW140">
        <v>9.7628560000000003E-2</v>
      </c>
      <c r="AX140">
        <v>0.12976119</v>
      </c>
      <c r="AY140">
        <v>-0.32278180000000001</v>
      </c>
      <c r="AZ140">
        <v>0.12352803</v>
      </c>
      <c r="BA140">
        <v>-0.33546007</v>
      </c>
      <c r="BB140">
        <v>0.19256603999999999</v>
      </c>
      <c r="BC140">
        <v>1.2227296E-2</v>
      </c>
      <c r="BD140">
        <v>-0.17689331999999999</v>
      </c>
      <c r="BE140">
        <v>0.104559466</v>
      </c>
      <c r="BF140">
        <v>7.6091445999999993E-2</v>
      </c>
      <c r="BG140">
        <v>0.20619883</v>
      </c>
      <c r="BH140">
        <v>1.3648317E-2</v>
      </c>
      <c r="BI140">
        <v>-2.1916116000000002E-3</v>
      </c>
      <c r="BJ140">
        <v>-0.11977084</v>
      </c>
      <c r="BK140">
        <v>0.29470232000000002</v>
      </c>
      <c r="BL140">
        <v>0.24691424000000001</v>
      </c>
      <c r="BM140">
        <v>2.7326137E-2</v>
      </c>
      <c r="BN140">
        <v>-0.24250218000000001</v>
      </c>
      <c r="BO140">
        <v>6.6002450000000004E-2</v>
      </c>
      <c r="BP140">
        <v>0.45297542000000002</v>
      </c>
      <c r="BQ140">
        <v>9.4853013999999999E-2</v>
      </c>
      <c r="BR140">
        <v>-0.26620465999999998</v>
      </c>
      <c r="BS140">
        <v>-0.53538333999999999</v>
      </c>
      <c r="BT140">
        <v>-9.2782320000000001E-2</v>
      </c>
      <c r="BU140">
        <v>-0.1050459</v>
      </c>
      <c r="BV140">
        <v>8.2460864999999994E-2</v>
      </c>
      <c r="BW140">
        <v>-5.0525382000000001E-2</v>
      </c>
      <c r="BX140">
        <v>-0.1159355</v>
      </c>
      <c r="BY140">
        <v>6.1831780000000003E-2</v>
      </c>
      <c r="BZ140">
        <v>-0.16789520999999999</v>
      </c>
      <c r="CA140">
        <v>0.19364706000000001</v>
      </c>
      <c r="CB140">
        <v>0.10969958</v>
      </c>
      <c r="CC140">
        <v>-1.9394465E-2</v>
      </c>
      <c r="CD140">
        <v>8.1370620000000005E-3</v>
      </c>
      <c r="CE140">
        <v>-0.10719636</v>
      </c>
      <c r="CF140">
        <v>8.9828389999999994E-2</v>
      </c>
      <c r="CG140">
        <v>0.15840545</v>
      </c>
      <c r="CH140">
        <v>-2.9112803E-2</v>
      </c>
      <c r="CI140">
        <v>-6.8278454000000002E-2</v>
      </c>
      <c r="CJ140">
        <v>-0.26005998000000002</v>
      </c>
      <c r="CK140">
        <v>0.10130323500000001</v>
      </c>
      <c r="CL140">
        <v>5.2421692999999998E-2</v>
      </c>
      <c r="CM140">
        <v>-0.15865639000000001</v>
      </c>
      <c r="CN140">
        <v>4.9144739999999999E-2</v>
      </c>
      <c r="CO140">
        <v>-0.1824645</v>
      </c>
      <c r="CP140">
        <v>-0.19146793000000001</v>
      </c>
      <c r="CQ140">
        <v>-0.111522235</v>
      </c>
      <c r="CR140">
        <v>-0.21711136</v>
      </c>
      <c r="CS140">
        <v>-2.2326757999999999E-2</v>
      </c>
      <c r="CT140">
        <v>-4.470582E-2</v>
      </c>
      <c r="CU140">
        <v>4.5111164999999996E-3</v>
      </c>
      <c r="CV140">
        <v>0.1104112</v>
      </c>
      <c r="CW140">
        <v>0.18657285000000001</v>
      </c>
      <c r="CX140">
        <v>8.5280045999999998E-2</v>
      </c>
      <c r="CY140">
        <v>0.26931852000000001</v>
      </c>
      <c r="CZ140">
        <v>0.1296136</v>
      </c>
      <c r="DA140">
        <v>0.19864009999999999</v>
      </c>
      <c r="DB140">
        <v>0.11727793</v>
      </c>
      <c r="DC140">
        <v>-0.16024537</v>
      </c>
      <c r="DD140">
        <v>0.16079678</v>
      </c>
      <c r="DE140">
        <v>-2.6120451999999999E-2</v>
      </c>
      <c r="DF140">
        <v>-1.6640485999999999E-2</v>
      </c>
      <c r="DG140">
        <v>-7.1686860000000005E-2</v>
      </c>
      <c r="DH140">
        <v>-7.5319916999999998E-3</v>
      </c>
      <c r="DI140">
        <v>2.8201793999999999E-2</v>
      </c>
      <c r="DJ140">
        <v>0.11933893</v>
      </c>
      <c r="DK140">
        <v>0.20020014</v>
      </c>
      <c r="DL140">
        <v>7.7017329999999995E-2</v>
      </c>
      <c r="DM140">
        <v>2.862814E-2</v>
      </c>
      <c r="DN140">
        <v>-3.8475799999999998E-2</v>
      </c>
      <c r="DO140">
        <v>-0.11010557999999999</v>
      </c>
      <c r="DP140">
        <v>-9.0252430000000005E-3</v>
      </c>
      <c r="DQ140">
        <v>0.23854033999999999</v>
      </c>
      <c r="DR140">
        <v>0.20997262999999999</v>
      </c>
      <c r="DS140">
        <v>7.8662850000000006E-2</v>
      </c>
      <c r="DT140">
        <v>-0.25030722999999999</v>
      </c>
      <c r="DU140">
        <v>6.9803459999999998E-2</v>
      </c>
      <c r="DV140">
        <v>0.16268657</v>
      </c>
      <c r="DW140">
        <v>0.22197385</v>
      </c>
      <c r="DX140">
        <v>-0.10033855</v>
      </c>
      <c r="DY140">
        <v>-7.9905556000000005E-4</v>
      </c>
      <c r="DZ140">
        <v>-0.22504555000000001</v>
      </c>
    </row>
    <row r="141" spans="1:130" x14ac:dyDescent="0.3">
      <c r="A141">
        <f>Board!$G$13</f>
        <v>0</v>
      </c>
      <c r="C141">
        <v>8.9684896E-2</v>
      </c>
      <c r="D141">
        <v>7.669426E-2</v>
      </c>
      <c r="E141">
        <v>-0.23908541999999999</v>
      </c>
      <c r="F141">
        <v>-0.26090829999999998</v>
      </c>
      <c r="G141">
        <v>0.11164852</v>
      </c>
      <c r="H141">
        <v>9.6331739999999999E-2</v>
      </c>
      <c r="I141">
        <v>0.15222015999999999</v>
      </c>
      <c r="J141">
        <v>1.9728954999999999E-2</v>
      </c>
      <c r="K141">
        <v>-6.1974425E-2</v>
      </c>
      <c r="L141">
        <v>9.1751079999999995E-3</v>
      </c>
      <c r="M141">
        <v>0.19267590000000001</v>
      </c>
      <c r="N141">
        <v>-0.52269220000000005</v>
      </c>
      <c r="O141">
        <v>0.21012928</v>
      </c>
      <c r="P141">
        <v>-9.8530220000000002E-2</v>
      </c>
      <c r="Q141">
        <v>0.14946725999999999</v>
      </c>
      <c r="R141">
        <v>9.5681890000000006E-2</v>
      </c>
      <c r="S141">
        <v>0.27294930000000001</v>
      </c>
      <c r="T141">
        <v>0.18205236999999999</v>
      </c>
      <c r="U141">
        <v>2.1115769999999999E-2</v>
      </c>
      <c r="V141">
        <v>0.24454291</v>
      </c>
      <c r="W141">
        <v>0.18873137000000001</v>
      </c>
      <c r="X141">
        <v>0.17167708000000001</v>
      </c>
      <c r="Y141">
        <v>0.13536322000000001</v>
      </c>
      <c r="Z141">
        <v>1.9779005999999998E-2</v>
      </c>
      <c r="AA141">
        <v>0.24418757999999999</v>
      </c>
      <c r="AB141">
        <v>-6.2662759999999998E-2</v>
      </c>
      <c r="AC141">
        <v>-0.106419176</v>
      </c>
      <c r="AD141">
        <v>2.2571411E-2</v>
      </c>
      <c r="AE141">
        <v>0.16100220000000001</v>
      </c>
      <c r="AF141">
        <v>7.9262405999999994E-2</v>
      </c>
      <c r="AG141">
        <v>7.1711733999999999E-2</v>
      </c>
      <c r="AH141">
        <v>0.13983335999999999</v>
      </c>
      <c r="AI141">
        <v>4.8017349999999997E-3</v>
      </c>
      <c r="AJ141">
        <v>4.7351345000000003E-2</v>
      </c>
      <c r="AK141">
        <v>-0.29416500000000001</v>
      </c>
      <c r="AL141">
        <v>6.2213320000000003E-2</v>
      </c>
      <c r="AM141">
        <v>-4.6933424000000001E-2</v>
      </c>
      <c r="AN141">
        <v>0.13265404</v>
      </c>
      <c r="AO141">
        <v>0.31937996000000002</v>
      </c>
      <c r="AP141">
        <v>7.4020959999999997E-2</v>
      </c>
      <c r="AQ141">
        <v>6.3640039999999995E-2</v>
      </c>
      <c r="AR141">
        <v>0.27485546</v>
      </c>
      <c r="AS141">
        <v>-0.24268820999999999</v>
      </c>
      <c r="AT141">
        <v>-0.18202958</v>
      </c>
      <c r="AU141">
        <v>0.22936474000000001</v>
      </c>
      <c r="AV141">
        <v>0.22843142</v>
      </c>
      <c r="AW141">
        <v>2.1509845E-2</v>
      </c>
      <c r="AX141">
        <v>6.1295763000000003E-2</v>
      </c>
      <c r="AY141">
        <v>-0.2811612</v>
      </c>
      <c r="AZ141">
        <v>-7.5485974999999997E-2</v>
      </c>
      <c r="BA141">
        <v>-0.22556287</v>
      </c>
      <c r="BB141">
        <v>0.1269488</v>
      </c>
      <c r="BC141">
        <v>-0.260712</v>
      </c>
      <c r="BD141">
        <v>-7.1908705000000003E-2</v>
      </c>
      <c r="BE141">
        <v>0.10333265</v>
      </c>
      <c r="BF141">
        <v>0.10556064499999999</v>
      </c>
      <c r="BG141">
        <v>-8.2040444000000004E-2</v>
      </c>
      <c r="BH141">
        <v>2.5220490000000002E-2</v>
      </c>
      <c r="BI141">
        <v>0.13186997</v>
      </c>
      <c r="BJ141">
        <v>5.2324759999999998E-2</v>
      </c>
      <c r="BK141">
        <v>0.40207055000000003</v>
      </c>
      <c r="BL141">
        <v>8.3197119999999999E-2</v>
      </c>
      <c r="BM141">
        <v>-6.4677810000000002E-2</v>
      </c>
      <c r="BN141">
        <v>-4.7737487000000002E-2</v>
      </c>
      <c r="BO141">
        <v>-7.7643030000000002E-2</v>
      </c>
      <c r="BP141">
        <v>0.13315171000000001</v>
      </c>
      <c r="BQ141">
        <v>0.12508132</v>
      </c>
      <c r="BR141">
        <v>-0.13530586999999999</v>
      </c>
      <c r="BS141">
        <v>-0.49292279999999999</v>
      </c>
      <c r="BT141">
        <v>-0.1530396</v>
      </c>
      <c r="BU141">
        <v>5.7029713000000003E-2</v>
      </c>
      <c r="BV141">
        <v>-3.6587215999999999E-2</v>
      </c>
      <c r="BW141">
        <v>-4.813663E-2</v>
      </c>
      <c r="BX141">
        <v>-3.5935341999999999E-3</v>
      </c>
      <c r="BY141">
        <v>-4.9046843999999999E-2</v>
      </c>
      <c r="BZ141">
        <v>-0.28446125999999999</v>
      </c>
      <c r="CA141">
        <v>0.14114714</v>
      </c>
      <c r="CB141">
        <v>0.21751685000000001</v>
      </c>
      <c r="CC141">
        <v>9.3764860000000005E-2</v>
      </c>
      <c r="CD141">
        <v>0.23716618</v>
      </c>
      <c r="CE141">
        <v>-0.10658570000000001</v>
      </c>
      <c r="CF141">
        <v>0.2284486</v>
      </c>
      <c r="CG141">
        <v>5.0998307999999999E-2</v>
      </c>
      <c r="CH141">
        <v>0.103215896</v>
      </c>
      <c r="CI141">
        <v>0.23469171</v>
      </c>
      <c r="CJ141">
        <v>-0.44987848000000003</v>
      </c>
      <c r="CK141">
        <v>0.12894032999999999</v>
      </c>
      <c r="CL141">
        <v>0.22072006999999999</v>
      </c>
      <c r="CM141">
        <v>4.2757842999999997E-2</v>
      </c>
      <c r="CN141">
        <v>9.3079319999999993E-2</v>
      </c>
      <c r="CO141">
        <v>-3.4869316999999997E-2</v>
      </c>
      <c r="CP141">
        <v>3.5031593999999999E-2</v>
      </c>
      <c r="CQ141">
        <v>2.2230416999999999E-2</v>
      </c>
      <c r="CR141">
        <v>-0.26072385999999997</v>
      </c>
      <c r="CS141">
        <v>0.12130123399999999</v>
      </c>
      <c r="CT141">
        <v>-7.5594102999999996E-3</v>
      </c>
      <c r="CU141">
        <v>1.2660819E-2</v>
      </c>
      <c r="CV141">
        <v>0.15955153</v>
      </c>
      <c r="CW141">
        <v>0.17947853999999999</v>
      </c>
      <c r="CX141">
        <v>-5.6078206999999998E-2</v>
      </c>
      <c r="CY141">
        <v>0.15529760000000001</v>
      </c>
      <c r="CZ141">
        <v>3.969644E-2</v>
      </c>
      <c r="DA141">
        <v>0.15390276999999999</v>
      </c>
      <c r="DB141">
        <v>0.19419980000000001</v>
      </c>
      <c r="DC141">
        <v>-8.1571260000000007E-2</v>
      </c>
      <c r="DD141">
        <v>9.0691104999999994E-2</v>
      </c>
      <c r="DE141">
        <v>0.13851290999999999</v>
      </c>
      <c r="DF141">
        <v>0.10960791</v>
      </c>
      <c r="DG141">
        <v>3.2914836999999998E-3</v>
      </c>
      <c r="DH141">
        <v>1.8890489E-2</v>
      </c>
      <c r="DI141">
        <v>0.117830515</v>
      </c>
      <c r="DJ141">
        <v>5.3385044999999999E-2</v>
      </c>
      <c r="DK141">
        <v>0.31521379999999999</v>
      </c>
      <c r="DL141">
        <v>9.0495049999999994E-2</v>
      </c>
      <c r="DM141">
        <v>0.13611780000000001</v>
      </c>
      <c r="DN141">
        <v>1.0405677E-2</v>
      </c>
      <c r="DO141">
        <v>-0.25335564999999999</v>
      </c>
      <c r="DP141">
        <v>-0.22387682</v>
      </c>
      <c r="DQ141">
        <v>0.29041856999999999</v>
      </c>
      <c r="DR141">
        <v>7.104924E-2</v>
      </c>
      <c r="DS141">
        <v>-0.16776288</v>
      </c>
      <c r="DT141">
        <v>-0.10863753</v>
      </c>
      <c r="DU141">
        <v>2.1183342000000001E-2</v>
      </c>
      <c r="DV141">
        <v>0.123302065</v>
      </c>
      <c r="DW141">
        <v>-1.9935641E-2</v>
      </c>
      <c r="DX141">
        <v>2.9533617000000002E-2</v>
      </c>
      <c r="DY141">
        <v>5.6767747E-2</v>
      </c>
      <c r="DZ141">
        <v>0.13786741999999999</v>
      </c>
    </row>
    <row r="142" spans="1:130" x14ac:dyDescent="0.3">
      <c r="A142">
        <f>Board!$H$13</f>
        <v>0</v>
      </c>
      <c r="C142">
        <v>9.5595020000000003E-2</v>
      </c>
      <c r="D142">
        <v>-1.6470223999999999E-2</v>
      </c>
      <c r="E142">
        <v>-0.43807383999999999</v>
      </c>
      <c r="F142">
        <v>0.17979331000000001</v>
      </c>
      <c r="G142">
        <v>3.4475643E-2</v>
      </c>
      <c r="H142">
        <v>1.3153730000000001E-2</v>
      </c>
      <c r="I142">
        <v>-1.7975538999999999E-2</v>
      </c>
      <c r="J142">
        <v>-9.1829010000000003E-2</v>
      </c>
      <c r="K142">
        <v>9.7793889999999994E-2</v>
      </c>
      <c r="L142">
        <v>-0.16270755000000001</v>
      </c>
      <c r="M142">
        <v>0.20668785000000001</v>
      </c>
      <c r="N142">
        <v>-0.57045409999999996</v>
      </c>
      <c r="O142">
        <v>0.11186749999999999</v>
      </c>
      <c r="P142">
        <v>1.0740655E-2</v>
      </c>
      <c r="Q142">
        <v>-3.7997910000000003E-2</v>
      </c>
      <c r="R142">
        <v>-5.4503455999999999E-3</v>
      </c>
      <c r="S142">
        <v>0.23030993</v>
      </c>
      <c r="T142">
        <v>0.16022739999999999</v>
      </c>
      <c r="U142">
        <v>-4.57177E-2</v>
      </c>
      <c r="V142">
        <v>0.19081034999999999</v>
      </c>
      <c r="W142">
        <v>0.12594345000000001</v>
      </c>
      <c r="X142">
        <v>0.14515982999999999</v>
      </c>
      <c r="Y142">
        <v>-0.13473412000000001</v>
      </c>
      <c r="Z142">
        <v>3.3726267999999997E-2</v>
      </c>
      <c r="AA142">
        <v>0.14475282</v>
      </c>
      <c r="AB142">
        <v>0.20224558000000001</v>
      </c>
      <c r="AC142">
        <v>-9.9337700000000001E-2</v>
      </c>
      <c r="AD142">
        <v>-5.0106915E-3</v>
      </c>
      <c r="AE142">
        <v>0.29122949999999997</v>
      </c>
      <c r="AF142">
        <v>-0.12927954999999999</v>
      </c>
      <c r="AG142">
        <v>0.13337462999999999</v>
      </c>
      <c r="AH142">
        <v>-8.9089855999999995E-2</v>
      </c>
      <c r="AI142">
        <v>-0.20894573999999999</v>
      </c>
      <c r="AJ142">
        <v>-0.105756</v>
      </c>
      <c r="AK142">
        <v>-0.20004440000000001</v>
      </c>
      <c r="AL142">
        <v>0.16608201</v>
      </c>
      <c r="AM142">
        <v>0.22291298000000001</v>
      </c>
      <c r="AN142">
        <v>0.23477276</v>
      </c>
      <c r="AO142">
        <v>0.53835440000000001</v>
      </c>
      <c r="AP142">
        <v>-0.26967471999999998</v>
      </c>
      <c r="AQ142">
        <v>5.5335910000000002E-2</v>
      </c>
      <c r="AR142">
        <v>9.0114615999999995E-2</v>
      </c>
      <c r="AS142">
        <v>-0.53680574999999997</v>
      </c>
      <c r="AT142">
        <v>-0.13707732</v>
      </c>
      <c r="AU142">
        <v>7.2444030000000006E-2</v>
      </c>
      <c r="AV142">
        <v>-0.34764590000000001</v>
      </c>
      <c r="AW142">
        <v>2.89821E-2</v>
      </c>
      <c r="AX142">
        <v>-9.0349235E-2</v>
      </c>
      <c r="AY142">
        <v>-5.4791205000000003E-2</v>
      </c>
      <c r="AZ142">
        <v>-4.3730269999999998E-3</v>
      </c>
      <c r="BA142">
        <v>-4.0671796000000003E-2</v>
      </c>
      <c r="BB142">
        <v>0.24738662</v>
      </c>
      <c r="BC142">
        <v>-0.33154266999999998</v>
      </c>
      <c r="BD142">
        <v>-0.29788505999999998</v>
      </c>
      <c r="BE142">
        <v>-6.8296280000000001E-2</v>
      </c>
      <c r="BF142">
        <v>6.6313209999999997E-2</v>
      </c>
      <c r="BG142">
        <v>0.11188424</v>
      </c>
      <c r="BH142">
        <v>1.8821905999999999E-2</v>
      </c>
      <c r="BI142">
        <v>-6.9554790000000005E-2</v>
      </c>
      <c r="BJ142">
        <v>3.7990210000000003E-2</v>
      </c>
      <c r="BK142">
        <v>0.20733044</v>
      </c>
      <c r="BL142">
        <v>9.6584950000000003E-2</v>
      </c>
      <c r="BM142">
        <v>3.9788034E-2</v>
      </c>
      <c r="BN142">
        <v>-0.12877756000000001</v>
      </c>
      <c r="BO142">
        <v>-0.12072237600000001</v>
      </c>
      <c r="BP142">
        <v>0.44180091999999999</v>
      </c>
      <c r="BQ142">
        <v>0.16552523999999999</v>
      </c>
      <c r="BR142">
        <v>-0.23587648999999999</v>
      </c>
      <c r="BS142">
        <v>-0.25474150000000001</v>
      </c>
      <c r="BT142">
        <v>-0.16381229999999999</v>
      </c>
      <c r="BU142">
        <v>-3.3473625999999999E-2</v>
      </c>
      <c r="BV142">
        <v>3.2632201999999999E-2</v>
      </c>
      <c r="BW142">
        <v>-4.7875870000000001E-2</v>
      </c>
      <c r="BX142">
        <v>0.14863543000000001</v>
      </c>
      <c r="BY142">
        <v>0.15222638999999999</v>
      </c>
      <c r="BZ142">
        <v>0.14577454000000001</v>
      </c>
      <c r="CA142">
        <v>9.9587049999999996E-2</v>
      </c>
      <c r="CB142">
        <v>0.27018043000000003</v>
      </c>
      <c r="CC142">
        <v>-0.112445</v>
      </c>
      <c r="CD142">
        <v>0.19744978999999999</v>
      </c>
      <c r="CE142">
        <v>6.8877859999999999E-2</v>
      </c>
      <c r="CF142">
        <v>0.14869289999999999</v>
      </c>
      <c r="CG142">
        <v>-0.20368105</v>
      </c>
      <c r="CH142">
        <v>-9.2549359999999997E-2</v>
      </c>
      <c r="CI142">
        <v>0.12030536</v>
      </c>
      <c r="CJ142">
        <v>2.5285427999999999E-2</v>
      </c>
      <c r="CK142">
        <v>0.117046595</v>
      </c>
      <c r="CL142">
        <v>0.1758132</v>
      </c>
      <c r="CM142">
        <v>-4.8810249999999999E-2</v>
      </c>
      <c r="CN142">
        <v>9.7417474000000004E-2</v>
      </c>
      <c r="CO142">
        <v>-4.3543655000000001E-2</v>
      </c>
      <c r="CP142">
        <v>0.13440336</v>
      </c>
      <c r="CQ142">
        <v>-0.10250205499999999</v>
      </c>
      <c r="CR142">
        <v>-0.18338287</v>
      </c>
      <c r="CS142">
        <v>0.191412</v>
      </c>
      <c r="CT142">
        <v>-7.1108059999999999E-4</v>
      </c>
      <c r="CU142">
        <v>-0.21147595</v>
      </c>
      <c r="CV142">
        <v>0.20277350999999999</v>
      </c>
      <c r="CW142">
        <v>-1.7438602000000001E-2</v>
      </c>
      <c r="CX142">
        <v>-6.0465026999999998E-2</v>
      </c>
      <c r="CY142">
        <v>0.19151589999999999</v>
      </c>
      <c r="CZ142">
        <v>3.0702173999999999E-2</v>
      </c>
      <c r="DA142">
        <v>8.6314279999999993E-2</v>
      </c>
      <c r="DB142">
        <v>0.13134216000000001</v>
      </c>
      <c r="DC142">
        <v>-9.0465166E-2</v>
      </c>
      <c r="DD142">
        <v>7.440832E-2</v>
      </c>
      <c r="DE142">
        <v>0.1397409</v>
      </c>
      <c r="DF142">
        <v>4.9722105000000003E-2</v>
      </c>
      <c r="DG142">
        <v>-0.25054853999999999</v>
      </c>
      <c r="DH142">
        <v>0.13267325999999999</v>
      </c>
      <c r="DI142">
        <v>-8.4851064000000004E-2</v>
      </c>
      <c r="DJ142">
        <v>0.10367538</v>
      </c>
      <c r="DK142">
        <v>0.19218383999999999</v>
      </c>
      <c r="DL142">
        <v>8.2127734999999993E-2</v>
      </c>
      <c r="DM142">
        <v>0.14969109</v>
      </c>
      <c r="DN142">
        <v>-0.31717869999999998</v>
      </c>
      <c r="DO142">
        <v>1.6901291999999998E-2</v>
      </c>
      <c r="DP142">
        <v>-0.26560729999999999</v>
      </c>
      <c r="DQ142">
        <v>7.2085194000000005E-2</v>
      </c>
      <c r="DR142">
        <v>2.2498803000000001E-2</v>
      </c>
      <c r="DS142">
        <v>-1.5926381999999999E-2</v>
      </c>
      <c r="DT142">
        <v>0.10015930000000001</v>
      </c>
      <c r="DU142">
        <v>-8.0328999999999998E-2</v>
      </c>
      <c r="DV142">
        <v>0.14808124</v>
      </c>
      <c r="DW142">
        <v>-9.5576979999999999E-3</v>
      </c>
      <c r="DX142">
        <v>-0.11859553</v>
      </c>
      <c r="DY142">
        <v>2.948038E-2</v>
      </c>
      <c r="DZ142">
        <v>3.5929065000000003E-2</v>
      </c>
    </row>
    <row r="143" spans="1:130" x14ac:dyDescent="0.3">
      <c r="A143">
        <f>Board!$I$13</f>
        <v>0</v>
      </c>
      <c r="C143">
        <v>6.1431784000000003E-2</v>
      </c>
      <c r="D143">
        <v>-3.5265009999999999E-2</v>
      </c>
      <c r="E143">
        <v>-0.17968634</v>
      </c>
      <c r="F143">
        <v>2.6021669000000001E-2</v>
      </c>
      <c r="G143">
        <v>-2.1604617999999999E-2</v>
      </c>
      <c r="H143">
        <v>4.9789715999999998E-2</v>
      </c>
      <c r="I143">
        <v>-2.1480385000000001E-2</v>
      </c>
      <c r="J143">
        <v>-8.8046240000000005E-3</v>
      </c>
      <c r="K143">
        <v>-0.20910479000000001</v>
      </c>
      <c r="L143">
        <v>-0.26939089999999999</v>
      </c>
      <c r="M143">
        <v>1.4761237E-2</v>
      </c>
      <c r="N143">
        <v>-0.29678369999999998</v>
      </c>
      <c r="O143">
        <v>-7.6230770000000003E-2</v>
      </c>
      <c r="P143">
        <v>5.4142453E-2</v>
      </c>
      <c r="Q143">
        <v>-0.36765170000000003</v>
      </c>
      <c r="R143">
        <v>-0.18396050999999999</v>
      </c>
      <c r="S143">
        <v>0.2108729</v>
      </c>
      <c r="T143">
        <v>0.30318626999999998</v>
      </c>
      <c r="U143">
        <v>-0.11374034</v>
      </c>
      <c r="V143">
        <v>0.13260505</v>
      </c>
      <c r="W143">
        <v>0.11628268</v>
      </c>
      <c r="X143">
        <v>0.15342977999999999</v>
      </c>
      <c r="Y143">
        <v>-0.11773633999999999</v>
      </c>
      <c r="Z143">
        <v>7.7053209999999997E-2</v>
      </c>
      <c r="AA143">
        <v>5.2059498000000003E-2</v>
      </c>
      <c r="AB143">
        <v>-5.7381152999999997E-2</v>
      </c>
      <c r="AC143">
        <v>6.0420982999999998E-2</v>
      </c>
      <c r="AD143">
        <v>-4.8272493999999999E-2</v>
      </c>
      <c r="AE143">
        <v>0.20552027</v>
      </c>
      <c r="AF143">
        <v>1.8335124000000001E-2</v>
      </c>
      <c r="AG143">
        <v>-0.12987883</v>
      </c>
      <c r="AH143">
        <v>1.7424371000000001E-2</v>
      </c>
      <c r="AI143">
        <v>2.2831847999999998E-2</v>
      </c>
      <c r="AJ143">
        <v>-0.13879812999999999</v>
      </c>
      <c r="AK143">
        <v>-0.19564577999999999</v>
      </c>
      <c r="AL143">
        <v>-0.22790830000000001</v>
      </c>
      <c r="AM143">
        <v>4.5232043E-2</v>
      </c>
      <c r="AN143">
        <v>6.4952389999999999E-2</v>
      </c>
      <c r="AO143">
        <v>0.40724813999999998</v>
      </c>
      <c r="AP143">
        <v>-0.17184530000000001</v>
      </c>
      <c r="AQ143">
        <v>3.8523439999999999E-2</v>
      </c>
      <c r="AR143">
        <v>0.27273193000000001</v>
      </c>
      <c r="AS143">
        <v>-0.35055526999999997</v>
      </c>
      <c r="AT143">
        <v>0.20866883999999999</v>
      </c>
      <c r="AU143">
        <v>2.9710892999999999E-2</v>
      </c>
      <c r="AV143">
        <v>-0.24001797999999999</v>
      </c>
      <c r="AW143">
        <v>-0.10484590000000001</v>
      </c>
      <c r="AX143">
        <v>-0.104450785</v>
      </c>
      <c r="AY143">
        <v>4.1677095000000001E-3</v>
      </c>
      <c r="AZ143">
        <v>0.10267175000000001</v>
      </c>
      <c r="BA143">
        <v>0.13634767</v>
      </c>
      <c r="BB143">
        <v>0.13582127999999999</v>
      </c>
      <c r="BC143">
        <v>-0.25719383000000001</v>
      </c>
      <c r="BD143">
        <v>-0.17242267999999999</v>
      </c>
      <c r="BE143">
        <v>1.0249967E-2</v>
      </c>
      <c r="BF143">
        <v>-0.12030141</v>
      </c>
      <c r="BG143">
        <v>0.21653241000000001</v>
      </c>
      <c r="BH143">
        <v>-9.7887630000000003E-2</v>
      </c>
      <c r="BI143">
        <v>-1.8881984000000001E-2</v>
      </c>
      <c r="BJ143">
        <v>-2.4182664E-2</v>
      </c>
      <c r="BK143">
        <v>0.16766017999999999</v>
      </c>
      <c r="BL143">
        <v>-8.8266399999999995E-2</v>
      </c>
      <c r="BM143">
        <v>8.5595889999999994E-2</v>
      </c>
      <c r="BN143">
        <v>-5.7798740000000001E-2</v>
      </c>
      <c r="BO143">
        <v>5.2183487000000001E-2</v>
      </c>
      <c r="BP143">
        <v>0.33920124000000001</v>
      </c>
      <c r="BQ143">
        <v>7.9886823999999995E-2</v>
      </c>
      <c r="BR143">
        <v>-0.27995163000000001</v>
      </c>
      <c r="BS143">
        <v>-0.36930396999999998</v>
      </c>
      <c r="BT143">
        <v>-0.28023213000000002</v>
      </c>
      <c r="BU143">
        <v>3.8932025000000002E-2</v>
      </c>
      <c r="BV143">
        <v>0.11732421</v>
      </c>
      <c r="BW143">
        <v>-0.12254692</v>
      </c>
      <c r="BX143">
        <v>3.4934340000000001E-2</v>
      </c>
      <c r="BY143">
        <v>0.14539024</v>
      </c>
      <c r="BZ143">
        <v>0.23357459999999999</v>
      </c>
      <c r="CA143">
        <v>0.19786876</v>
      </c>
      <c r="CB143">
        <v>-4.5460260000000002E-2</v>
      </c>
      <c r="CC143">
        <v>-0.32693805999999997</v>
      </c>
      <c r="CD143">
        <v>0.44956002</v>
      </c>
      <c r="CE143">
        <v>-4.3656394000000001E-2</v>
      </c>
      <c r="CF143">
        <v>-0.11034713</v>
      </c>
      <c r="CG143">
        <v>-0.1498495</v>
      </c>
      <c r="CH143">
        <v>-5.4079229999999999E-2</v>
      </c>
      <c r="CI143">
        <v>0.27975875</v>
      </c>
      <c r="CJ143">
        <v>0.17569773</v>
      </c>
      <c r="CK143">
        <v>0.13253686000000001</v>
      </c>
      <c r="CL143">
        <v>-0.10803662</v>
      </c>
      <c r="CM143">
        <v>4.8089590000000002E-2</v>
      </c>
      <c r="CN143">
        <v>0.14334251000000001</v>
      </c>
      <c r="CO143">
        <v>-0.21732222000000001</v>
      </c>
      <c r="CP143">
        <v>4.1756712000000001E-2</v>
      </c>
      <c r="CQ143">
        <v>-0.29438019999999998</v>
      </c>
      <c r="CR143">
        <v>-2.1540277E-2</v>
      </c>
      <c r="CS143">
        <v>6.1342674999999999E-2</v>
      </c>
      <c r="CT143">
        <v>8.8638010000000003E-2</v>
      </c>
      <c r="CU143">
        <v>-4.8737910000000002E-2</v>
      </c>
      <c r="CV143">
        <v>8.9063964999999995E-2</v>
      </c>
      <c r="CW143">
        <v>0.12474272</v>
      </c>
      <c r="CX143">
        <v>0.22091326</v>
      </c>
      <c r="CY143">
        <v>0.32232875</v>
      </c>
      <c r="CZ143">
        <v>-0.2637795</v>
      </c>
      <c r="DA143">
        <v>0.17171407</v>
      </c>
      <c r="DB143">
        <v>6.9721215000000001E-3</v>
      </c>
      <c r="DC143">
        <v>-5.0104982999999999E-2</v>
      </c>
      <c r="DD143">
        <v>0.16325253000000001</v>
      </c>
      <c r="DE143">
        <v>-2.2335649999999999E-2</v>
      </c>
      <c r="DF143">
        <v>0.16948831</v>
      </c>
      <c r="DG143">
        <v>0.31294095999999999</v>
      </c>
      <c r="DH143">
        <v>0.25303360000000003</v>
      </c>
      <c r="DI143">
        <v>5.2285223999999998E-2</v>
      </c>
      <c r="DJ143">
        <v>0.16923917999999999</v>
      </c>
      <c r="DK143">
        <v>0.22453239999999999</v>
      </c>
      <c r="DL143">
        <v>2.3355580000000002E-3</v>
      </c>
      <c r="DM143">
        <v>0.33060524000000002</v>
      </c>
      <c r="DN143">
        <v>-0.33412570000000003</v>
      </c>
      <c r="DO143">
        <v>-0.31772583999999998</v>
      </c>
      <c r="DP143">
        <v>-0.20767685999999999</v>
      </c>
      <c r="DQ143">
        <v>-6.5154340000000005E-2</v>
      </c>
      <c r="DR143">
        <v>-2.4293676E-2</v>
      </c>
      <c r="DS143">
        <v>0.14219733000000001</v>
      </c>
      <c r="DT143">
        <v>-2.5863374000000001E-2</v>
      </c>
      <c r="DU143">
        <v>1.2848530000000001E-3</v>
      </c>
      <c r="DV143">
        <v>0.103491396</v>
      </c>
      <c r="DW143">
        <v>-4.7338046000000002E-2</v>
      </c>
      <c r="DX143">
        <v>-0.27463576000000001</v>
      </c>
      <c r="DY143">
        <v>-7.8788004999999994E-2</v>
      </c>
      <c r="DZ143">
        <v>5.5654082000000001E-2</v>
      </c>
    </row>
    <row r="144" spans="1:130" x14ac:dyDescent="0.3">
      <c r="A144">
        <f>Board!$J$13</f>
        <v>0</v>
      </c>
      <c r="C144">
        <v>-0.17401364</v>
      </c>
      <c r="D144">
        <v>-0.32881153000000002</v>
      </c>
      <c r="E144">
        <v>-0.40892079999999997</v>
      </c>
      <c r="F144">
        <v>-4.5871660000000002E-2</v>
      </c>
      <c r="G144">
        <v>-0.14363813</v>
      </c>
      <c r="H144">
        <v>1.6055604000000001E-2</v>
      </c>
      <c r="I144">
        <v>4.240638E-2</v>
      </c>
      <c r="J144">
        <v>-0.16706858999999999</v>
      </c>
      <c r="K144">
        <v>-0.17069777999999999</v>
      </c>
      <c r="L144">
        <v>1.9078398E-2</v>
      </c>
      <c r="M144">
        <v>0.100500375</v>
      </c>
      <c r="N144">
        <v>-0.19853299999999999</v>
      </c>
      <c r="O144">
        <v>-8.9388040000000002E-2</v>
      </c>
      <c r="P144">
        <v>0.21427003999999999</v>
      </c>
      <c r="Q144">
        <v>-0.26027762999999998</v>
      </c>
      <c r="R144">
        <v>0.123973824</v>
      </c>
      <c r="S144">
        <v>0.13501899000000001</v>
      </c>
      <c r="T144">
        <v>0.36564817999999999</v>
      </c>
      <c r="U144">
        <v>-0.16101703000000001</v>
      </c>
      <c r="V144">
        <v>4.7912594000000003E-2</v>
      </c>
      <c r="W144">
        <v>7.2725780000000004E-2</v>
      </c>
      <c r="X144">
        <v>0.25013756999999998</v>
      </c>
      <c r="Y144">
        <v>-0.10080719</v>
      </c>
      <c r="Z144">
        <v>0.100551</v>
      </c>
      <c r="AA144">
        <v>0.10139674999999999</v>
      </c>
      <c r="AB144">
        <v>-0.12480949600000001</v>
      </c>
      <c r="AC144">
        <v>-0.23120941</v>
      </c>
      <c r="AD144">
        <v>-0.22466974000000001</v>
      </c>
      <c r="AE144">
        <v>-5.9443265000000002E-2</v>
      </c>
      <c r="AF144">
        <v>5.2768000000000002E-2</v>
      </c>
      <c r="AG144">
        <v>-0.23066022</v>
      </c>
      <c r="AH144">
        <v>-4.0525333000000002E-3</v>
      </c>
      <c r="AI144">
        <v>0.13279715</v>
      </c>
      <c r="AJ144">
        <v>-9.2346150000000002E-2</v>
      </c>
      <c r="AK144">
        <v>7.8534590000000001E-2</v>
      </c>
      <c r="AL144">
        <v>-0.16414133</v>
      </c>
      <c r="AM144">
        <v>4.3841209999999999E-2</v>
      </c>
      <c r="AN144">
        <v>0.32102039999999998</v>
      </c>
      <c r="AO144">
        <v>7.7963195999999998E-2</v>
      </c>
      <c r="AP144">
        <v>-8.9040789999999995E-2</v>
      </c>
      <c r="AQ144">
        <v>7.4319444999999998E-2</v>
      </c>
      <c r="AR144">
        <v>0.22984764999999999</v>
      </c>
      <c r="AS144">
        <v>-0.10470847</v>
      </c>
      <c r="AT144">
        <v>9.7434529999999991E-3</v>
      </c>
      <c r="AU144">
        <v>-1.8653840000000001E-3</v>
      </c>
      <c r="AV144">
        <v>-4.8543975000000003E-2</v>
      </c>
      <c r="AW144">
        <v>-0.18930335000000001</v>
      </c>
      <c r="AX144">
        <v>0.12707387000000001</v>
      </c>
      <c r="AY144">
        <v>-2.188003E-3</v>
      </c>
      <c r="AZ144">
        <v>1.9845430000000001E-3</v>
      </c>
      <c r="BA144">
        <v>-1.7884336000000001E-2</v>
      </c>
      <c r="BB144">
        <v>0.19553545</v>
      </c>
      <c r="BC144">
        <v>-0.1628204</v>
      </c>
      <c r="BD144">
        <v>-6.5802745999999995E-2</v>
      </c>
      <c r="BE144">
        <v>-6.7319069999999995E-2</v>
      </c>
      <c r="BF144">
        <v>0.17989865999999999</v>
      </c>
      <c r="BG144">
        <v>0.22178781</v>
      </c>
      <c r="BH144">
        <v>8.6496316000000004E-2</v>
      </c>
      <c r="BI144">
        <v>-0.26617432000000002</v>
      </c>
      <c r="BJ144">
        <v>-6.0753630000000003E-2</v>
      </c>
      <c r="BK144">
        <v>0.53766506999999997</v>
      </c>
      <c r="BL144">
        <v>0.18882108</v>
      </c>
      <c r="BM144">
        <v>8.7164484E-2</v>
      </c>
      <c r="BN144">
        <v>6.6336154999999994E-2</v>
      </c>
      <c r="BO144">
        <v>-6.3328400000000007E-2</v>
      </c>
      <c r="BP144">
        <v>0.16422792999999999</v>
      </c>
      <c r="BQ144">
        <v>-0.18531392999999999</v>
      </c>
      <c r="BR144">
        <v>-5.1079123999999997E-2</v>
      </c>
      <c r="BS144">
        <v>-0.41854602000000002</v>
      </c>
      <c r="BT144">
        <v>5.7927066999999997E-3</v>
      </c>
      <c r="BU144">
        <v>0.10612619</v>
      </c>
      <c r="BV144">
        <v>0.2782965</v>
      </c>
      <c r="BW144">
        <v>-0.17607587999999999</v>
      </c>
      <c r="BX144">
        <v>1.3538497E-2</v>
      </c>
      <c r="BY144">
        <v>-0.22164882999999999</v>
      </c>
      <c r="BZ144">
        <v>0.16816178000000001</v>
      </c>
      <c r="CA144">
        <v>0.21940963999999999</v>
      </c>
      <c r="CB144">
        <v>-0.29926472999999998</v>
      </c>
      <c r="CC144">
        <v>7.5924710000000006E-2</v>
      </c>
      <c r="CD144">
        <v>0.44822440000000002</v>
      </c>
      <c r="CE144">
        <v>-0.16423160000000001</v>
      </c>
      <c r="CF144">
        <v>0.10485177</v>
      </c>
      <c r="CG144">
        <v>-9.5047145999999999E-2</v>
      </c>
      <c r="CH144">
        <v>-4.3295126000000003E-2</v>
      </c>
      <c r="CI144">
        <v>-2.1656136999999999E-2</v>
      </c>
      <c r="CJ144">
        <v>0.26296343999999999</v>
      </c>
      <c r="CK144">
        <v>0.13106644000000001</v>
      </c>
      <c r="CL144">
        <v>0.19624496999999999</v>
      </c>
      <c r="CM144">
        <v>5.0107314999999999E-2</v>
      </c>
      <c r="CN144">
        <v>0.13593689</v>
      </c>
      <c r="CO144">
        <v>-0.11929480000000001</v>
      </c>
      <c r="CP144">
        <v>0.28380406000000002</v>
      </c>
      <c r="CQ144">
        <v>6.8668969999999996E-2</v>
      </c>
      <c r="CR144">
        <v>-5.8243907999999997E-2</v>
      </c>
      <c r="CS144">
        <v>9.0317010000000003E-2</v>
      </c>
      <c r="CT144">
        <v>-1.5305406000000001E-2</v>
      </c>
      <c r="CU144">
        <v>-0.23103318</v>
      </c>
      <c r="CV144">
        <v>0.12520210000000001</v>
      </c>
      <c r="CW144">
        <v>0.13256229999999999</v>
      </c>
      <c r="CX144">
        <v>0.15880637</v>
      </c>
      <c r="CY144">
        <v>0.32443944000000002</v>
      </c>
      <c r="CZ144">
        <v>-8.7154090000000004E-2</v>
      </c>
      <c r="DA144">
        <v>8.6463810000000002E-2</v>
      </c>
      <c r="DB144">
        <v>-0.27443835</v>
      </c>
      <c r="DC144">
        <v>2.5492768999999998E-2</v>
      </c>
      <c r="DD144">
        <v>0.14447545000000001</v>
      </c>
      <c r="DE144">
        <v>2.4851722999999999E-2</v>
      </c>
      <c r="DF144">
        <v>0.1084986</v>
      </c>
      <c r="DG144">
        <v>-3.3540140000000003E-2</v>
      </c>
      <c r="DH144">
        <v>6.0028567999999997E-2</v>
      </c>
      <c r="DI144">
        <v>0.31206857999999998</v>
      </c>
      <c r="DJ144">
        <v>-9.325224E-2</v>
      </c>
      <c r="DK144">
        <v>0.21911644999999999</v>
      </c>
      <c r="DL144">
        <v>0.17931662000000001</v>
      </c>
      <c r="DM144">
        <v>0.17651163</v>
      </c>
      <c r="DN144">
        <v>-7.4506069999999994E-2</v>
      </c>
      <c r="DO144">
        <v>-0.22800492999999999</v>
      </c>
      <c r="DP144">
        <v>2.5262404E-3</v>
      </c>
      <c r="DQ144">
        <v>0.16358921000000001</v>
      </c>
      <c r="DR144">
        <v>0.18270184</v>
      </c>
      <c r="DS144">
        <v>-6.9908769999999995E-2</v>
      </c>
      <c r="DT144">
        <v>9.7914260000000006E-3</v>
      </c>
      <c r="DU144">
        <v>0.16283010000000001</v>
      </c>
      <c r="DV144">
        <v>0.18638043000000001</v>
      </c>
      <c r="DW144">
        <v>-0.135629</v>
      </c>
      <c r="DX144">
        <v>-0.22429292000000001</v>
      </c>
      <c r="DY144">
        <v>-0.16930439999999999</v>
      </c>
      <c r="DZ144">
        <v>0.20693696</v>
      </c>
    </row>
    <row r="145" spans="1:130" x14ac:dyDescent="0.3">
      <c r="A145">
        <f>Board!$K$13</f>
        <v>0</v>
      </c>
      <c r="C145">
        <v>0.26845783000000001</v>
      </c>
      <c r="D145">
        <v>-0.24001169999999999</v>
      </c>
      <c r="E145">
        <v>-0.18632921999999999</v>
      </c>
      <c r="F145">
        <v>-0.15400858000000001</v>
      </c>
      <c r="G145">
        <v>-9.078427E-2</v>
      </c>
      <c r="H145">
        <v>0.20065843</v>
      </c>
      <c r="I145">
        <v>-1.52971735E-2</v>
      </c>
      <c r="J145">
        <v>-0.15687408999999999</v>
      </c>
      <c r="K145">
        <v>-0.38247042999999997</v>
      </c>
      <c r="L145">
        <v>-7.6084785000000002E-2</v>
      </c>
      <c r="M145">
        <v>9.2254835000000004E-4</v>
      </c>
      <c r="N145">
        <v>-0.12561557000000001</v>
      </c>
      <c r="O145">
        <v>-0.20983463999999999</v>
      </c>
      <c r="P145">
        <v>0.15669505</v>
      </c>
      <c r="Q145">
        <v>-0.21670341000000001</v>
      </c>
      <c r="R145">
        <v>-1.2443678E-2</v>
      </c>
      <c r="S145">
        <v>0.14700452999999999</v>
      </c>
      <c r="T145">
        <v>0.19071914000000001</v>
      </c>
      <c r="U145">
        <v>-0.15373861999999999</v>
      </c>
      <c r="V145">
        <v>2.6634990000000001E-2</v>
      </c>
      <c r="W145">
        <v>5.4206879999999999E-2</v>
      </c>
      <c r="X145">
        <v>0.25477686999999999</v>
      </c>
      <c r="Y145">
        <v>-0.12047303500000001</v>
      </c>
      <c r="Z145">
        <v>4.6241417999999999E-2</v>
      </c>
      <c r="AA145">
        <v>0.12436953000000001</v>
      </c>
      <c r="AB145">
        <v>-0.23150124999999999</v>
      </c>
      <c r="AC145">
        <v>-0.18563667</v>
      </c>
      <c r="AD145">
        <v>-8.304048E-2</v>
      </c>
      <c r="AE145">
        <v>-0.17403428000000001</v>
      </c>
      <c r="AF145">
        <v>0.10188832</v>
      </c>
      <c r="AG145">
        <v>2.7560850000000001E-2</v>
      </c>
      <c r="AH145">
        <v>0.21292806</v>
      </c>
      <c r="AI145">
        <v>9.1198925000000007E-3</v>
      </c>
      <c r="AJ145">
        <v>4.4772065999999999E-2</v>
      </c>
      <c r="AK145">
        <v>7.7415999999999999E-2</v>
      </c>
      <c r="AL145">
        <v>-0.34953129999999999</v>
      </c>
      <c r="AM145">
        <v>0.10933726000000001</v>
      </c>
      <c r="AN145">
        <v>0.19234772</v>
      </c>
      <c r="AO145">
        <v>7.7777180000000001E-2</v>
      </c>
      <c r="AP145">
        <v>0.11195515</v>
      </c>
      <c r="AQ145">
        <v>-0.17073654999999999</v>
      </c>
      <c r="AR145">
        <v>0.24761099</v>
      </c>
      <c r="AS145">
        <v>-0.18127702000000001</v>
      </c>
      <c r="AT145">
        <v>0.3793417</v>
      </c>
      <c r="AU145">
        <v>-0.12935624000000001</v>
      </c>
      <c r="AV145">
        <v>-3.4281425000000002E-4</v>
      </c>
      <c r="AW145">
        <v>0.119418964</v>
      </c>
      <c r="AX145">
        <v>-0.12833629999999999</v>
      </c>
      <c r="AY145">
        <v>7.6534370000000004E-2</v>
      </c>
      <c r="AZ145">
        <v>0.27708346</v>
      </c>
      <c r="BA145">
        <v>-0.11824886499999999</v>
      </c>
      <c r="BB145">
        <v>0.529505</v>
      </c>
      <c r="BC145">
        <v>-0.12561372000000001</v>
      </c>
      <c r="BD145">
        <v>-4.9929256999999998E-2</v>
      </c>
      <c r="BE145">
        <v>-0.24815018</v>
      </c>
      <c r="BF145">
        <v>0.25765686999999998</v>
      </c>
      <c r="BG145">
        <v>0.19160733999999999</v>
      </c>
      <c r="BH145">
        <v>0.14943215000000001</v>
      </c>
      <c r="BI145">
        <v>-9.4844360000000006E-3</v>
      </c>
      <c r="BJ145">
        <v>0.29746869999999997</v>
      </c>
      <c r="BK145">
        <v>0.41612654999999998</v>
      </c>
      <c r="BL145">
        <v>-2.0647122E-2</v>
      </c>
      <c r="BM145">
        <v>0.17783595999999999</v>
      </c>
      <c r="BN145">
        <v>-9.0953560000000003E-2</v>
      </c>
      <c r="BO145">
        <v>-0.21599951000000001</v>
      </c>
      <c r="BP145">
        <v>-6.4069150000000004E-4</v>
      </c>
      <c r="BQ145">
        <v>-0.17800753999999999</v>
      </c>
      <c r="BR145">
        <v>5.0962449999999999E-2</v>
      </c>
      <c r="BS145">
        <v>-0.25223955999999997</v>
      </c>
      <c r="BT145">
        <v>-7.2257000000000002E-2</v>
      </c>
      <c r="BU145">
        <v>1.0057068000000001E-2</v>
      </c>
      <c r="BV145">
        <v>0.20801892999999999</v>
      </c>
      <c r="BW145">
        <v>-0.35662835999999998</v>
      </c>
      <c r="BX145">
        <v>1.7773642999999999E-2</v>
      </c>
      <c r="BY145">
        <v>-0.19357706999999999</v>
      </c>
      <c r="BZ145">
        <v>0.44744885000000001</v>
      </c>
      <c r="CA145">
        <v>0.11872499</v>
      </c>
      <c r="CB145">
        <v>-0.29758056999999999</v>
      </c>
      <c r="CC145">
        <v>0.14423440000000001</v>
      </c>
      <c r="CD145">
        <v>0.20498269999999999</v>
      </c>
      <c r="CE145">
        <v>-0.20995939999999999</v>
      </c>
      <c r="CF145">
        <v>0.45184730000000001</v>
      </c>
      <c r="CG145">
        <v>7.4003860000000005E-2</v>
      </c>
      <c r="CH145">
        <v>-0.19565989</v>
      </c>
      <c r="CI145">
        <v>0.36599118000000003</v>
      </c>
      <c r="CJ145">
        <v>6.9353774000000007E-2</v>
      </c>
      <c r="CK145">
        <v>0.34017389999999997</v>
      </c>
      <c r="CL145">
        <v>0.38265305999999999</v>
      </c>
      <c r="CM145">
        <v>0.124135934</v>
      </c>
      <c r="CN145">
        <v>3.2368969999999997E-2</v>
      </c>
      <c r="CO145">
        <v>-0.15741720000000001</v>
      </c>
      <c r="CP145">
        <v>0.33708450000000001</v>
      </c>
      <c r="CQ145">
        <v>0.18657492000000001</v>
      </c>
      <c r="CR145">
        <v>-9.2682340000000002E-3</v>
      </c>
      <c r="CS145">
        <v>0.18649161</v>
      </c>
      <c r="CT145">
        <v>8.6967684000000003E-2</v>
      </c>
      <c r="CU145">
        <v>-0.24035405000000001</v>
      </c>
      <c r="CV145">
        <v>0.23502161999999999</v>
      </c>
      <c r="CW145">
        <v>0.26368380000000002</v>
      </c>
      <c r="CX145">
        <v>2.4358371E-2</v>
      </c>
      <c r="CY145">
        <v>0.31491235000000001</v>
      </c>
      <c r="CZ145">
        <v>-5.3080826999999997E-2</v>
      </c>
      <c r="DA145">
        <v>0.30562677999999999</v>
      </c>
      <c r="DB145">
        <v>-0.40897053</v>
      </c>
      <c r="DC145">
        <v>1.8986441E-2</v>
      </c>
      <c r="DD145">
        <v>0.36077030999999998</v>
      </c>
      <c r="DE145">
        <v>-9.5069130000000002E-2</v>
      </c>
      <c r="DF145">
        <v>-3.3967480000000001E-2</v>
      </c>
      <c r="DG145">
        <v>0.42869952</v>
      </c>
      <c r="DH145">
        <v>-4.7068885999999997E-2</v>
      </c>
      <c r="DI145">
        <v>0.44402631999999997</v>
      </c>
      <c r="DJ145">
        <v>-5.1849689999999997E-2</v>
      </c>
      <c r="DK145">
        <v>0.22837634000000001</v>
      </c>
      <c r="DL145">
        <v>0.20848486999999999</v>
      </c>
      <c r="DM145">
        <v>0.18406332</v>
      </c>
      <c r="DN145">
        <v>-0.1136374</v>
      </c>
      <c r="DO145">
        <v>-0.59373560000000003</v>
      </c>
      <c r="DP145">
        <v>-0.10565873000000001</v>
      </c>
      <c r="DQ145">
        <v>0.25154004000000002</v>
      </c>
      <c r="DR145">
        <v>4.8828099999999999E-2</v>
      </c>
      <c r="DS145">
        <v>-8.6061869999999999E-2</v>
      </c>
      <c r="DT145">
        <v>-0.23706362</v>
      </c>
      <c r="DU145">
        <v>8.2041100000000006E-2</v>
      </c>
      <c r="DV145">
        <v>3.3804170000000001E-2</v>
      </c>
      <c r="DW145">
        <v>0.14893118999999999</v>
      </c>
      <c r="DX145">
        <v>-0.27975333000000002</v>
      </c>
      <c r="DY145">
        <v>4.2503319999999997E-2</v>
      </c>
      <c r="DZ145">
        <v>0.17706251000000001</v>
      </c>
    </row>
    <row r="146" spans="1:130" x14ac:dyDescent="0.3">
      <c r="A146">
        <f>Board!$L$13</f>
        <v>0</v>
      </c>
      <c r="C146">
        <v>3.0313469999999999E-2</v>
      </c>
      <c r="D146">
        <v>-0.12263428</v>
      </c>
      <c r="E146">
        <v>3.4653336E-2</v>
      </c>
      <c r="F146">
        <v>-0.19244607999999999</v>
      </c>
      <c r="G146">
        <v>-7.2651530000000006E-2</v>
      </c>
      <c r="H146">
        <v>0.33582901999999998</v>
      </c>
      <c r="I146">
        <v>0.17878395</v>
      </c>
      <c r="J146">
        <v>2.5107302000000001E-2</v>
      </c>
      <c r="K146">
        <v>-7.4044780000000004E-2</v>
      </c>
      <c r="L146">
        <v>-6.5322889999999995E-2</v>
      </c>
      <c r="M146">
        <v>-0.11786597</v>
      </c>
      <c r="N146">
        <v>-3.9339789999999999E-2</v>
      </c>
      <c r="O146">
        <v>-0.12831023</v>
      </c>
      <c r="P146">
        <v>0.103239104</v>
      </c>
      <c r="Q146">
        <v>-0.29172215000000001</v>
      </c>
      <c r="R146">
        <v>8.0426269999999994E-2</v>
      </c>
      <c r="S146">
        <v>6.2684039999999996E-4</v>
      </c>
      <c r="T146">
        <v>0.36598793000000002</v>
      </c>
      <c r="U146">
        <v>6.6820290000000004E-2</v>
      </c>
      <c r="V146">
        <v>1.5544186E-2</v>
      </c>
      <c r="W146">
        <v>-0.21632773</v>
      </c>
      <c r="X146">
        <v>8.5552619999999996E-2</v>
      </c>
      <c r="Y146">
        <v>6.3774734999999999E-2</v>
      </c>
      <c r="Z146">
        <v>-9.0722813999999999E-2</v>
      </c>
      <c r="AA146">
        <v>8.3540950000000003E-2</v>
      </c>
      <c r="AB146">
        <v>-9.1119480000000003E-2</v>
      </c>
      <c r="AC146">
        <v>-9.1657310000000006E-2</v>
      </c>
      <c r="AD146">
        <v>-0.14405309999999999</v>
      </c>
      <c r="AE146">
        <v>-3.4954212999999998E-2</v>
      </c>
      <c r="AF146">
        <v>0.22247279</v>
      </c>
      <c r="AG146">
        <v>-0.11034858</v>
      </c>
      <c r="AH146">
        <v>0.18464968000000001</v>
      </c>
      <c r="AI146">
        <v>-3.1494619999999999E-4</v>
      </c>
      <c r="AJ146">
        <v>-1.1601208E-2</v>
      </c>
      <c r="AK146">
        <v>1.0493654999999999E-2</v>
      </c>
      <c r="AL146">
        <v>-0.23342386000000001</v>
      </c>
      <c r="AM146">
        <v>0.30379390000000001</v>
      </c>
      <c r="AN146">
        <v>-5.1049909999999997E-3</v>
      </c>
      <c r="AO146">
        <v>0.17573886999999999</v>
      </c>
      <c r="AP146">
        <v>0.13698667</v>
      </c>
      <c r="AQ146">
        <v>-0.178396</v>
      </c>
      <c r="AR146">
        <v>-0.17290576999999999</v>
      </c>
      <c r="AS146">
        <v>-0.11085633</v>
      </c>
      <c r="AT146">
        <v>0.22589630999999999</v>
      </c>
      <c r="AU146">
        <v>-7.7191090000000004E-2</v>
      </c>
      <c r="AV146">
        <v>-2.6763474999999998E-2</v>
      </c>
      <c r="AW146">
        <v>0.11704015</v>
      </c>
      <c r="AX146">
        <v>-2.4348683999999999E-2</v>
      </c>
      <c r="AY146">
        <v>-1.4866612E-2</v>
      </c>
      <c r="AZ146">
        <v>-1.4984473999999999E-2</v>
      </c>
      <c r="BA146">
        <v>-0.17381331</v>
      </c>
      <c r="BB146">
        <v>0.13836502000000001</v>
      </c>
      <c r="BC146">
        <v>-6.7646109999999995E-2</v>
      </c>
      <c r="BD146">
        <v>2.9692313000000001E-2</v>
      </c>
      <c r="BE146">
        <v>0.116371065</v>
      </c>
      <c r="BF146">
        <v>-1.25122145E-2</v>
      </c>
      <c r="BG146">
        <v>8.2733575E-3</v>
      </c>
      <c r="BH146">
        <v>-7.9306779999999993E-2</v>
      </c>
      <c r="BI146">
        <v>6.0559276000000002E-2</v>
      </c>
      <c r="BJ146">
        <v>-2.3656521E-2</v>
      </c>
      <c r="BK146">
        <v>0.21100084</v>
      </c>
      <c r="BL146">
        <v>8.6867550000000002E-2</v>
      </c>
      <c r="BM146">
        <v>-7.8651529999999997E-2</v>
      </c>
      <c r="BN146">
        <v>-1.3267131499999999E-2</v>
      </c>
      <c r="BO146">
        <v>-0.17925785</v>
      </c>
      <c r="BP146">
        <v>0.25227374000000002</v>
      </c>
      <c r="BQ146">
        <v>8.3317019999999999E-3</v>
      </c>
      <c r="BR146">
        <v>-0.14746542000000001</v>
      </c>
      <c r="BS146">
        <v>-0.24092658</v>
      </c>
      <c r="BT146">
        <v>-0.14603983000000001</v>
      </c>
      <c r="BU146">
        <v>1.7612876E-2</v>
      </c>
      <c r="BV146">
        <v>-2.2500882E-2</v>
      </c>
      <c r="BW146">
        <v>-0.11433425999999999</v>
      </c>
      <c r="BX146">
        <v>5.0125706999999999E-2</v>
      </c>
      <c r="BY146">
        <v>-0.19935592999999999</v>
      </c>
      <c r="BZ146">
        <v>5.8781649999999998E-2</v>
      </c>
      <c r="CA146">
        <v>0.19070456999999999</v>
      </c>
      <c r="CB146">
        <v>-0.34259978000000002</v>
      </c>
      <c r="CC146">
        <v>0.19956234</v>
      </c>
      <c r="CD146">
        <v>7.8379799999999999E-2</v>
      </c>
      <c r="CE146">
        <v>-0.10042581</v>
      </c>
      <c r="CF146">
        <v>-2.6164968000000001E-3</v>
      </c>
      <c r="CG146">
        <v>-0.19496326</v>
      </c>
      <c r="CH146">
        <v>-3.441396E-2</v>
      </c>
      <c r="CI146">
        <v>0.20897811999999999</v>
      </c>
      <c r="CJ146">
        <v>7.1532802999999998E-4</v>
      </c>
      <c r="CK146">
        <v>-3.9185703000000002E-2</v>
      </c>
      <c r="CL146">
        <v>0.14582273000000001</v>
      </c>
      <c r="CM146">
        <v>0.15955974000000001</v>
      </c>
      <c r="CN146">
        <v>-1.5052556999999999E-2</v>
      </c>
      <c r="CO146">
        <v>0.110500865</v>
      </c>
      <c r="CP146">
        <v>1.1332689999999999E-2</v>
      </c>
      <c r="CQ146">
        <v>0.11167972</v>
      </c>
      <c r="CR146">
        <v>-4.7044362999999999E-2</v>
      </c>
      <c r="CS146">
        <v>-1.4335141500000001E-2</v>
      </c>
      <c r="CT146">
        <v>-9.711293E-2</v>
      </c>
      <c r="CU146">
        <v>-7.3579766000000005E-2</v>
      </c>
      <c r="CV146">
        <v>2.273031E-3</v>
      </c>
      <c r="CW146">
        <v>0.13553667</v>
      </c>
      <c r="CX146">
        <v>2.2727352999999999E-2</v>
      </c>
      <c r="CY146">
        <v>0.116585694</v>
      </c>
      <c r="CZ146">
        <v>-6.4641476000000003E-2</v>
      </c>
      <c r="DA146">
        <v>0.45756823000000002</v>
      </c>
      <c r="DB146">
        <v>-0.11875176</v>
      </c>
      <c r="DC146">
        <v>-0.10890882</v>
      </c>
      <c r="DD146">
        <v>4.5085076000000002E-2</v>
      </c>
      <c r="DE146">
        <v>4.5836399999999999E-2</v>
      </c>
      <c r="DF146">
        <v>0.11909625</v>
      </c>
      <c r="DG146">
        <v>-0.10706808399999999</v>
      </c>
      <c r="DH146">
        <v>0.25226229999999999</v>
      </c>
      <c r="DI146">
        <v>0.33560696000000001</v>
      </c>
      <c r="DJ146">
        <v>-0.22805686</v>
      </c>
      <c r="DK146">
        <v>-1.6714674999999998E-2</v>
      </c>
      <c r="DL146">
        <v>0.19578713</v>
      </c>
      <c r="DM146">
        <v>0.22163569999999999</v>
      </c>
      <c r="DN146">
        <v>-2.3109784000000001E-2</v>
      </c>
      <c r="DO146">
        <v>-0.100268945</v>
      </c>
      <c r="DP146">
        <v>1.7064393000000001E-2</v>
      </c>
      <c r="DQ146">
        <v>-4.0839670000000002E-2</v>
      </c>
      <c r="DR146">
        <v>-2.1430749999999998E-2</v>
      </c>
      <c r="DS146">
        <v>-0.26896735999999999</v>
      </c>
      <c r="DT146">
        <v>-1.7561032000000001E-2</v>
      </c>
      <c r="DU146">
        <v>-4.0578204999999999E-2</v>
      </c>
      <c r="DV146">
        <v>-0.12394369</v>
      </c>
      <c r="DW146">
        <v>-0.1467</v>
      </c>
      <c r="DX146">
        <v>-0.16390368</v>
      </c>
      <c r="DY146">
        <v>-9.6105769999999993E-2</v>
      </c>
      <c r="DZ146">
        <v>-3.6347249999999998E-2</v>
      </c>
    </row>
    <row r="147" spans="1:130" x14ac:dyDescent="0.3">
      <c r="A147">
        <f>Board!$M$13</f>
        <v>0</v>
      </c>
      <c r="C147">
        <v>3.7029445000000001E-2</v>
      </c>
      <c r="D147">
        <v>5.4127276000000002E-3</v>
      </c>
      <c r="E147">
        <v>9.049828E-2</v>
      </c>
      <c r="F147">
        <v>-0.14639864999999999</v>
      </c>
      <c r="G147">
        <v>0.10577744</v>
      </c>
      <c r="H147">
        <v>5.1480190000000002E-2</v>
      </c>
      <c r="I147">
        <v>-6.4624793999999999E-2</v>
      </c>
      <c r="J147">
        <v>0.11831048</v>
      </c>
      <c r="K147">
        <v>0.11374252999999999</v>
      </c>
      <c r="L147">
        <v>-0.13886266999999999</v>
      </c>
      <c r="M147">
        <v>-7.4217900000000003E-2</v>
      </c>
      <c r="N147">
        <v>0.12952176000000001</v>
      </c>
      <c r="O147">
        <v>0.13565856000000001</v>
      </c>
      <c r="P147">
        <v>8.0027189999999998E-2</v>
      </c>
      <c r="Q147">
        <v>8.6889419999999998E-3</v>
      </c>
      <c r="R147">
        <v>-3.8662954999999999E-2</v>
      </c>
      <c r="S147">
        <v>-8.0619684999999996E-2</v>
      </c>
      <c r="T147">
        <v>0.11397469</v>
      </c>
      <c r="U147">
        <v>2.4329126E-2</v>
      </c>
      <c r="V147">
        <v>-1.5052586999999999E-2</v>
      </c>
      <c r="W147">
        <v>4.166831E-2</v>
      </c>
      <c r="X147">
        <v>-9.3068970000000001E-2</v>
      </c>
      <c r="Y147">
        <v>-0.12476811</v>
      </c>
      <c r="Z147">
        <v>-2.6178225999999999E-2</v>
      </c>
      <c r="AA147">
        <v>8.0044270000000001E-2</v>
      </c>
      <c r="AB147">
        <v>-0.11427801999999999</v>
      </c>
      <c r="AC147">
        <v>-0.10189852000000001</v>
      </c>
      <c r="AD147">
        <v>0.10150024000000001</v>
      </c>
      <c r="AE147">
        <v>0.13148406000000001</v>
      </c>
      <c r="AF147">
        <v>-7.3424749999999997E-2</v>
      </c>
      <c r="AG147">
        <v>-8.6660849999999998E-2</v>
      </c>
      <c r="AH147">
        <v>-0.13654137</v>
      </c>
      <c r="AI147">
        <v>0.12564921000000001</v>
      </c>
      <c r="AJ147">
        <v>0.10885498</v>
      </c>
      <c r="AK147">
        <v>-7.2755344E-2</v>
      </c>
      <c r="AL147">
        <v>-0.12070965</v>
      </c>
      <c r="AM147">
        <v>-5.6757726000000001E-2</v>
      </c>
      <c r="AN147">
        <v>4.12772E-2</v>
      </c>
      <c r="AO147">
        <v>-6.4058619999999997E-2</v>
      </c>
      <c r="AP147">
        <v>-0.13430534</v>
      </c>
      <c r="AQ147">
        <v>-0.13184223</v>
      </c>
      <c r="AR147">
        <v>-0.11006597999999999</v>
      </c>
      <c r="AS147">
        <v>-2.3701376999999999E-2</v>
      </c>
      <c r="AT147">
        <v>-2.3645282E-2</v>
      </c>
      <c r="AU147">
        <v>-5.2827239999999998E-2</v>
      </c>
      <c r="AV147">
        <v>-4.3800517999999997E-2</v>
      </c>
      <c r="AW147">
        <v>-2.803377E-2</v>
      </c>
      <c r="AX147">
        <v>6.7564145000000006E-2</v>
      </c>
      <c r="AY147">
        <v>-4.9022562999999998E-2</v>
      </c>
      <c r="AZ147">
        <v>0.14213806000000001</v>
      </c>
      <c r="BA147">
        <v>-0.119727924</v>
      </c>
      <c r="BB147">
        <v>6.4928219999999995E-2</v>
      </c>
      <c r="BC147">
        <v>-0.12493503</v>
      </c>
      <c r="BD147">
        <v>8.7155360000000001E-2</v>
      </c>
      <c r="BE147">
        <v>5.1988855E-2</v>
      </c>
      <c r="BF147">
        <v>-8.960891E-2</v>
      </c>
      <c r="BG147">
        <v>-0.12938938</v>
      </c>
      <c r="BH147">
        <v>-1.1140853E-3</v>
      </c>
      <c r="BI147">
        <v>3.6606952999999998E-2</v>
      </c>
      <c r="BJ147">
        <v>-8.5400100000000007E-2</v>
      </c>
      <c r="BK147">
        <v>6.2502500000000003E-2</v>
      </c>
      <c r="BL147">
        <v>4.8895657000000002E-2</v>
      </c>
      <c r="BM147">
        <v>-3.5789861999999999E-2</v>
      </c>
      <c r="BN147">
        <v>-9.4932909999999992E-3</v>
      </c>
      <c r="BO147">
        <v>0.10695273</v>
      </c>
      <c r="BP147">
        <v>0.13369097999999999</v>
      </c>
      <c r="BQ147">
        <v>0.10370298999999999</v>
      </c>
      <c r="BR147">
        <v>-7.5932020000000003E-2</v>
      </c>
      <c r="BS147">
        <v>1.091519E-2</v>
      </c>
      <c r="BT147">
        <v>5.4717407000000003E-2</v>
      </c>
      <c r="BU147">
        <v>-4.9205497000000001E-2</v>
      </c>
      <c r="BV147">
        <v>-8.6512476000000005E-2</v>
      </c>
      <c r="BW147">
        <v>-0.10560947</v>
      </c>
      <c r="BX147">
        <v>6.2476337E-2</v>
      </c>
      <c r="BY147">
        <v>0.12946096000000001</v>
      </c>
      <c r="BZ147">
        <v>6.1006100000000002E-3</v>
      </c>
      <c r="CA147">
        <v>-0.14697276000000001</v>
      </c>
      <c r="CB147">
        <v>4.7657563999999999E-2</v>
      </c>
      <c r="CC147">
        <v>0.101409584</v>
      </c>
      <c r="CD147">
        <v>3.0530990000000001E-4</v>
      </c>
      <c r="CE147">
        <v>6.8016514E-2</v>
      </c>
      <c r="CF147">
        <v>-7.7110864000000001E-2</v>
      </c>
      <c r="CG147">
        <v>-0.10722383000000001</v>
      </c>
      <c r="CH147">
        <v>1.2155622E-2</v>
      </c>
      <c r="CI147">
        <v>1.1143208E-2</v>
      </c>
      <c r="CJ147">
        <v>3.0420362999999999E-2</v>
      </c>
      <c r="CK147">
        <v>0.13004524000000001</v>
      </c>
      <c r="CL147">
        <v>7.5597315999999998E-2</v>
      </c>
      <c r="CM147">
        <v>-0.11674229999999999</v>
      </c>
      <c r="CN147">
        <v>-7.0843144999999996E-2</v>
      </c>
      <c r="CO147">
        <v>8.4701135999999996E-2</v>
      </c>
      <c r="CP147">
        <v>4.9491435E-2</v>
      </c>
      <c r="CQ147">
        <v>2.3124143E-2</v>
      </c>
      <c r="CR147">
        <v>-0.11059487</v>
      </c>
      <c r="CS147">
        <v>-0.10954212000000001</v>
      </c>
      <c r="CT147">
        <v>1.6770631000000001E-2</v>
      </c>
      <c r="CU147">
        <v>-5.8161467000000001E-2</v>
      </c>
      <c r="CV147">
        <v>7.4310290000000001E-2</v>
      </c>
      <c r="CW147">
        <v>0.10701500999999999</v>
      </c>
      <c r="CX147">
        <v>4.4096022999999998E-2</v>
      </c>
      <c r="CY147">
        <v>0.14738773999999999</v>
      </c>
      <c r="CZ147">
        <v>0.12439009500000001</v>
      </c>
      <c r="DA147">
        <v>-8.137577E-2</v>
      </c>
      <c r="DB147">
        <v>1.4497741999999999E-2</v>
      </c>
      <c r="DC147">
        <v>-0.10614859</v>
      </c>
      <c r="DD147">
        <v>-3.2623284000000002E-2</v>
      </c>
      <c r="DE147">
        <v>-0.113345765</v>
      </c>
      <c r="DF147">
        <v>7.5310810000000006E-2</v>
      </c>
      <c r="DG147">
        <v>1.2872368E-2</v>
      </c>
      <c r="DH147">
        <v>2.3262039000000002E-2</v>
      </c>
      <c r="DI147">
        <v>-5.8163090000000001E-2</v>
      </c>
      <c r="DJ147">
        <v>-4.0812864999999997E-2</v>
      </c>
      <c r="DK147">
        <v>5.6610882000000001E-2</v>
      </c>
      <c r="DL147">
        <v>1.1775032E-2</v>
      </c>
      <c r="DM147">
        <v>-8.5375204999999996E-2</v>
      </c>
      <c r="DN147">
        <v>9.1349184999999999E-2</v>
      </c>
      <c r="DO147">
        <v>3.3331484000000001E-2</v>
      </c>
      <c r="DP147">
        <v>9.8232806000000006E-2</v>
      </c>
      <c r="DQ147">
        <v>1.6483216999999999E-3</v>
      </c>
      <c r="DR147">
        <v>-1.5463948E-2</v>
      </c>
      <c r="DS147">
        <v>-0.14231615</v>
      </c>
      <c r="DT147">
        <v>-6.2411464999999999E-2</v>
      </c>
      <c r="DU147">
        <v>-0.11188397999999999</v>
      </c>
      <c r="DV147">
        <v>-5.8906116000000001E-2</v>
      </c>
      <c r="DW147">
        <v>-0.12277393</v>
      </c>
      <c r="DX147">
        <v>2.348739E-2</v>
      </c>
      <c r="DY147">
        <v>7.7968300000000004E-2</v>
      </c>
      <c r="DZ147">
        <v>-1.1178433999999999E-2</v>
      </c>
    </row>
    <row r="149" spans="1:130" ht="23.4" x14ac:dyDescent="0.45">
      <c r="C149" s="1" t="s">
        <v>11</v>
      </c>
    </row>
    <row r="150" spans="1:130" x14ac:dyDescent="0.3">
      <c r="C150" t="s">
        <v>7</v>
      </c>
      <c r="D150" t="s">
        <v>8</v>
      </c>
      <c r="E150" t="s">
        <v>9</v>
      </c>
      <c r="F150" t="s">
        <v>10</v>
      </c>
      <c r="G150" t="s">
        <v>20</v>
      </c>
      <c r="H150" t="s">
        <v>21</v>
      </c>
      <c r="I150" t="s">
        <v>22</v>
      </c>
      <c r="J150" t="s">
        <v>23</v>
      </c>
      <c r="K150" t="s">
        <v>24</v>
      </c>
      <c r="L150" t="s">
        <v>25</v>
      </c>
      <c r="M150" t="s">
        <v>26</v>
      </c>
      <c r="N150" t="s">
        <v>27</v>
      </c>
      <c r="O150" t="s">
        <v>28</v>
      </c>
      <c r="P150" t="s">
        <v>29</v>
      </c>
      <c r="Q150" t="s">
        <v>30</v>
      </c>
      <c r="R150" t="s">
        <v>31</v>
      </c>
      <c r="S150" t="s">
        <v>32</v>
      </c>
      <c r="T150" t="s">
        <v>33</v>
      </c>
      <c r="U150" t="s">
        <v>34</v>
      </c>
      <c r="V150" t="s">
        <v>35</v>
      </c>
      <c r="W150" t="s">
        <v>36</v>
      </c>
      <c r="X150" t="s">
        <v>37</v>
      </c>
      <c r="Y150" t="s">
        <v>38</v>
      </c>
      <c r="Z150" t="s">
        <v>39</v>
      </c>
      <c r="AA150" t="s">
        <v>40</v>
      </c>
      <c r="AB150" t="s">
        <v>41</v>
      </c>
      <c r="AC150" t="s">
        <v>42</v>
      </c>
      <c r="AD150" t="s">
        <v>43</v>
      </c>
      <c r="AE150" t="s">
        <v>44</v>
      </c>
      <c r="AF150" t="s">
        <v>62</v>
      </c>
      <c r="AG150" t="s">
        <v>63</v>
      </c>
      <c r="AH150" t="s">
        <v>64</v>
      </c>
      <c r="AI150" t="s">
        <v>65</v>
      </c>
      <c r="AJ150" t="s">
        <v>66</v>
      </c>
      <c r="AK150" t="s">
        <v>67</v>
      </c>
      <c r="AL150" t="s">
        <v>68</v>
      </c>
      <c r="AM150" t="s">
        <v>69</v>
      </c>
      <c r="AN150" t="s">
        <v>70</v>
      </c>
      <c r="AO150" t="s">
        <v>71</v>
      </c>
      <c r="AP150" t="s">
        <v>72</v>
      </c>
      <c r="AQ150" t="s">
        <v>73</v>
      </c>
      <c r="AR150" t="s">
        <v>74</v>
      </c>
      <c r="AS150" t="s">
        <v>75</v>
      </c>
      <c r="AT150" t="s">
        <v>76</v>
      </c>
      <c r="AU150" t="s">
        <v>77</v>
      </c>
      <c r="AV150" t="s">
        <v>78</v>
      </c>
      <c r="AW150" t="s">
        <v>79</v>
      </c>
      <c r="AX150" t="s">
        <v>80</v>
      </c>
      <c r="AY150" t="s">
        <v>81</v>
      </c>
      <c r="AZ150" t="s">
        <v>82</v>
      </c>
      <c r="BA150" t="s">
        <v>383</v>
      </c>
      <c r="BB150" t="s">
        <v>384</v>
      </c>
      <c r="BC150" t="s">
        <v>385</v>
      </c>
      <c r="BD150" t="s">
        <v>386</v>
      </c>
      <c r="BE150" t="s">
        <v>387</v>
      </c>
      <c r="BF150" t="s">
        <v>388</v>
      </c>
      <c r="BG150" t="s">
        <v>389</v>
      </c>
      <c r="BH150" t="s">
        <v>390</v>
      </c>
      <c r="BI150" t="s">
        <v>391</v>
      </c>
      <c r="BJ150" t="s">
        <v>392</v>
      </c>
      <c r="BK150" t="s">
        <v>393</v>
      </c>
      <c r="BL150" t="s">
        <v>394</v>
      </c>
      <c r="BM150" t="s">
        <v>395</v>
      </c>
      <c r="BN150" t="s">
        <v>396</v>
      </c>
      <c r="BO150" t="s">
        <v>397</v>
      </c>
      <c r="BP150" t="s">
        <v>398</v>
      </c>
      <c r="BQ150" t="s">
        <v>399</v>
      </c>
      <c r="BR150" t="s">
        <v>400</v>
      </c>
      <c r="BS150" t="s">
        <v>401</v>
      </c>
      <c r="BT150" t="s">
        <v>402</v>
      </c>
      <c r="BU150" t="s">
        <v>403</v>
      </c>
      <c r="BV150" t="s">
        <v>404</v>
      </c>
      <c r="BW150" t="s">
        <v>405</v>
      </c>
      <c r="BX150" t="s">
        <v>406</v>
      </c>
      <c r="BY150" t="s">
        <v>407</v>
      </c>
      <c r="BZ150" t="s">
        <v>408</v>
      </c>
      <c r="CA150" t="s">
        <v>409</v>
      </c>
      <c r="CB150" t="s">
        <v>410</v>
      </c>
      <c r="CC150" t="s">
        <v>411</v>
      </c>
      <c r="CD150" t="s">
        <v>412</v>
      </c>
      <c r="CE150" t="s">
        <v>413</v>
      </c>
      <c r="CF150" t="s">
        <v>414</v>
      </c>
      <c r="CG150" t="s">
        <v>415</v>
      </c>
      <c r="CH150" t="s">
        <v>416</v>
      </c>
      <c r="CI150" t="s">
        <v>417</v>
      </c>
      <c r="CJ150" t="s">
        <v>418</v>
      </c>
      <c r="CK150" t="s">
        <v>419</v>
      </c>
      <c r="CL150" t="s">
        <v>420</v>
      </c>
      <c r="CM150" t="s">
        <v>421</v>
      </c>
      <c r="CN150" t="s">
        <v>422</v>
      </c>
      <c r="CO150" t="s">
        <v>423</v>
      </c>
      <c r="CP150" t="s">
        <v>424</v>
      </c>
      <c r="CQ150" t="s">
        <v>425</v>
      </c>
      <c r="CR150" t="s">
        <v>426</v>
      </c>
      <c r="CS150" t="s">
        <v>427</v>
      </c>
      <c r="CT150" t="s">
        <v>428</v>
      </c>
      <c r="CU150" t="s">
        <v>429</v>
      </c>
      <c r="CV150" t="s">
        <v>430</v>
      </c>
      <c r="CW150" t="s">
        <v>431</v>
      </c>
      <c r="CX150" t="s">
        <v>432</v>
      </c>
      <c r="CY150" t="s">
        <v>433</v>
      </c>
      <c r="CZ150" t="s">
        <v>434</v>
      </c>
      <c r="DA150" t="s">
        <v>435</v>
      </c>
      <c r="DB150" t="s">
        <v>436</v>
      </c>
      <c r="DC150" t="s">
        <v>437</v>
      </c>
      <c r="DD150" t="s">
        <v>438</v>
      </c>
      <c r="DE150" t="s">
        <v>439</v>
      </c>
      <c r="DF150" t="s">
        <v>440</v>
      </c>
      <c r="DG150" t="s">
        <v>441</v>
      </c>
      <c r="DH150" t="s">
        <v>442</v>
      </c>
      <c r="DI150" t="s">
        <v>443</v>
      </c>
      <c r="DJ150" t="s">
        <v>444</v>
      </c>
      <c r="DK150" t="s">
        <v>445</v>
      </c>
      <c r="DL150" t="s">
        <v>446</v>
      </c>
      <c r="DM150" t="s">
        <v>447</v>
      </c>
      <c r="DN150" t="s">
        <v>448</v>
      </c>
      <c r="DO150" t="s">
        <v>449</v>
      </c>
      <c r="DP150" t="s">
        <v>450</v>
      </c>
      <c r="DQ150" t="s">
        <v>451</v>
      </c>
      <c r="DR150" t="s">
        <v>452</v>
      </c>
      <c r="DS150" t="s">
        <v>453</v>
      </c>
      <c r="DT150" t="s">
        <v>454</v>
      </c>
      <c r="DU150" t="s">
        <v>455</v>
      </c>
      <c r="DV150" t="s">
        <v>456</v>
      </c>
      <c r="DW150" t="s">
        <v>457</v>
      </c>
      <c r="DX150" t="s">
        <v>458</v>
      </c>
      <c r="DY150" t="s">
        <v>459</v>
      </c>
      <c r="DZ150" t="s">
        <v>460</v>
      </c>
    </row>
    <row r="151" spans="1:130" x14ac:dyDescent="0.3">
      <c r="C151">
        <v>-3.1965821999999998E-2</v>
      </c>
      <c r="D151">
        <v>7.9993530000000007E-3</v>
      </c>
      <c r="E151">
        <v>0.1676262</v>
      </c>
      <c r="F151">
        <v>3.5413790000000001E-2</v>
      </c>
      <c r="G151">
        <v>-6.3407229999999995E-2</v>
      </c>
      <c r="H151">
        <v>-5.9449540000000002E-2</v>
      </c>
      <c r="I151">
        <v>2.2591744E-2</v>
      </c>
      <c r="J151">
        <v>5.7920165000000003E-2</v>
      </c>
      <c r="K151">
        <v>-4.1307050000000001E-3</v>
      </c>
      <c r="L151">
        <v>5.787515E-2</v>
      </c>
      <c r="M151">
        <v>9.5945820000000001E-2</v>
      </c>
      <c r="N151">
        <v>0.31602701999999999</v>
      </c>
      <c r="O151">
        <v>-6.9115540000000003E-2</v>
      </c>
      <c r="P151">
        <v>-2.7361116E-3</v>
      </c>
      <c r="Q151">
        <v>-4.8105347999999999E-2</v>
      </c>
      <c r="R151">
        <v>-2.8957572000000001E-2</v>
      </c>
      <c r="S151">
        <v>-2.758683E-2</v>
      </c>
      <c r="T151">
        <v>1.551751E-2</v>
      </c>
      <c r="U151">
        <v>0.15773118999999999</v>
      </c>
      <c r="V151">
        <v>-6.3774719999999993E-2</v>
      </c>
      <c r="W151">
        <v>-0.13970155000000001</v>
      </c>
      <c r="X151">
        <v>7.8892950000000003E-2</v>
      </c>
      <c r="Y151">
        <v>0.27722492999999998</v>
      </c>
      <c r="Z151">
        <v>-5.2107606000000001E-2</v>
      </c>
      <c r="AA151">
        <v>-0.12135252000000001</v>
      </c>
      <c r="AB151">
        <v>6.9522920000000002E-2</v>
      </c>
      <c r="AC151">
        <v>-3.4337777999999999E-2</v>
      </c>
      <c r="AD151">
        <v>-6.2351573E-2</v>
      </c>
      <c r="AE151">
        <v>-6.2371388E-2</v>
      </c>
      <c r="AF151">
        <v>0.22805903999999999</v>
      </c>
      <c r="AG151">
        <v>-7.502152E-4</v>
      </c>
      <c r="AH151">
        <v>0.27463523000000001</v>
      </c>
      <c r="AI151">
        <v>4.8215220000000003E-2</v>
      </c>
      <c r="AJ151">
        <v>-2.9304119E-2</v>
      </c>
      <c r="AK151">
        <v>-5.985302E-2</v>
      </c>
      <c r="AL151">
        <v>3.7662618000000002E-2</v>
      </c>
      <c r="AM151">
        <v>1.8915668E-3</v>
      </c>
      <c r="AN151">
        <v>1.8577442E-2</v>
      </c>
      <c r="AO151">
        <v>3.2370977999999998E-3</v>
      </c>
      <c r="AP151">
        <v>5.2761044E-2</v>
      </c>
      <c r="AQ151">
        <v>5.5177003000000002E-2</v>
      </c>
      <c r="AR151">
        <v>6.6727704999999998E-2</v>
      </c>
      <c r="AS151">
        <v>0.19537134</v>
      </c>
      <c r="AT151">
        <v>0.19605254</v>
      </c>
      <c r="AU151">
        <v>-6.0211090000000002E-2</v>
      </c>
      <c r="AV151">
        <v>0.25866489999999998</v>
      </c>
      <c r="AW151">
        <v>8.9819350000000006E-2</v>
      </c>
      <c r="AX151">
        <v>6.1796579999999997E-2</v>
      </c>
      <c r="AY151">
        <v>0.1997138</v>
      </c>
      <c r="AZ151">
        <v>-7.5142619999999993E-2</v>
      </c>
      <c r="BA151">
        <v>4.5163736000000003E-2</v>
      </c>
      <c r="BB151">
        <v>-2.6038872000000001E-2</v>
      </c>
      <c r="BC151">
        <v>-2.0861551000000002E-3</v>
      </c>
      <c r="BD151">
        <v>3.4528730000000001E-2</v>
      </c>
      <c r="BE151">
        <v>7.2662119999999997E-2</v>
      </c>
      <c r="BF151">
        <v>0.16509921999999999</v>
      </c>
      <c r="BG151">
        <v>0.17906779</v>
      </c>
      <c r="BH151">
        <v>0.13510116999999999</v>
      </c>
      <c r="BI151">
        <v>0.116069354</v>
      </c>
      <c r="BJ151">
        <v>0.15825243</v>
      </c>
      <c r="BK151">
        <v>6.2855220000000003E-2</v>
      </c>
      <c r="BL151">
        <v>3.8349569999999999E-2</v>
      </c>
      <c r="BM151">
        <v>3.1727287999999999E-2</v>
      </c>
      <c r="BN151">
        <v>0.10558243</v>
      </c>
      <c r="BO151">
        <v>8.0238169999999998E-2</v>
      </c>
      <c r="BP151">
        <v>-1.4554093000000001E-2</v>
      </c>
      <c r="BQ151">
        <v>5.9189180000000001E-2</v>
      </c>
      <c r="BR151">
        <v>0.23627724999999999</v>
      </c>
      <c r="BS151">
        <v>8.3901815000000005E-2</v>
      </c>
      <c r="BT151">
        <v>-4.2105480000000001E-2</v>
      </c>
      <c r="BU151">
        <v>0.1482618</v>
      </c>
      <c r="BV151">
        <v>0.19550686</v>
      </c>
      <c r="BW151">
        <v>4.6637789999999998E-2</v>
      </c>
      <c r="BX151">
        <v>0.1395557</v>
      </c>
      <c r="BY151">
        <v>1.0097048000000001E-2</v>
      </c>
      <c r="BZ151">
        <v>7.8070860000000006E-2</v>
      </c>
      <c r="CA151">
        <v>0.14852663999999999</v>
      </c>
      <c r="CB151">
        <v>-8.2250729999999994E-2</v>
      </c>
      <c r="CC151">
        <v>1.4883102E-2</v>
      </c>
      <c r="CD151">
        <v>1.6843192E-2</v>
      </c>
      <c r="CE151">
        <v>2.4414359E-2</v>
      </c>
      <c r="CF151">
        <v>8.0397769999999993E-2</v>
      </c>
      <c r="CG151">
        <v>4.4874589999999999E-2</v>
      </c>
      <c r="CH151">
        <v>5.0707786999999997E-2</v>
      </c>
      <c r="CI151">
        <v>0.14645277000000001</v>
      </c>
      <c r="CJ151">
        <v>0.32530599999999998</v>
      </c>
      <c r="CK151">
        <v>3.7880469999999999E-2</v>
      </c>
      <c r="CL151">
        <v>4.4883218000000003E-2</v>
      </c>
      <c r="CM151">
        <v>0.106513634</v>
      </c>
      <c r="CN151">
        <v>6.8134985999999995E-2</v>
      </c>
      <c r="CO151">
        <v>0.28250459999999999</v>
      </c>
      <c r="CP151">
        <v>0.30698392000000002</v>
      </c>
      <c r="CQ151">
        <v>-4.0970784000000003E-2</v>
      </c>
      <c r="CR151">
        <v>0.27718559999999998</v>
      </c>
      <c r="CS151">
        <v>-4.7356736000000003E-2</v>
      </c>
      <c r="CT151">
        <v>5.7919542999999997E-2</v>
      </c>
      <c r="CU151">
        <v>2.8446518E-2</v>
      </c>
      <c r="CV151">
        <v>-0.13002901</v>
      </c>
      <c r="CW151">
        <v>3.9046187000000003E-2</v>
      </c>
      <c r="CX151">
        <v>1.7750002000000001E-2</v>
      </c>
      <c r="CY151">
        <v>0.15396124</v>
      </c>
      <c r="CZ151">
        <v>0.30749393000000003</v>
      </c>
      <c r="DA151">
        <v>1.9717416000000001E-2</v>
      </c>
      <c r="DB151">
        <v>-4.8796452999999997E-2</v>
      </c>
      <c r="DC151">
        <v>0.3613865</v>
      </c>
      <c r="DD151">
        <v>0.1216246</v>
      </c>
      <c r="DE151">
        <v>-0.12141536</v>
      </c>
      <c r="DF151">
        <v>0.11733575</v>
      </c>
      <c r="DG151">
        <v>0.14288627000000001</v>
      </c>
      <c r="DH151">
        <v>-7.9023749999999997E-3</v>
      </c>
      <c r="DI151">
        <v>9.4291899999999998E-2</v>
      </c>
      <c r="DJ151">
        <v>-7.6494739999999999E-3</v>
      </c>
      <c r="DK151">
        <v>-0.17055434999999999</v>
      </c>
      <c r="DL151">
        <v>3.0530023999999999E-2</v>
      </c>
      <c r="DM151">
        <v>1.7113403999999999E-3</v>
      </c>
      <c r="DN151">
        <v>8.6275629999999996E-3</v>
      </c>
      <c r="DO151">
        <v>8.1276210000000002E-2</v>
      </c>
      <c r="DP151">
        <v>2.6194871999999998E-3</v>
      </c>
      <c r="DQ151">
        <v>0.13050939</v>
      </c>
      <c r="DR151">
        <v>0.19756286000000001</v>
      </c>
      <c r="DS151">
        <v>-0.10945125</v>
      </c>
      <c r="DT151">
        <v>6.9917129999999994E-2</v>
      </c>
      <c r="DU151">
        <v>0.18036637</v>
      </c>
      <c r="DV151">
        <v>0.22864893</v>
      </c>
      <c r="DW151">
        <v>5.0264094000000002E-2</v>
      </c>
      <c r="DX151">
        <v>0.14843771</v>
      </c>
      <c r="DY151">
        <v>5.6075109999999999E-3</v>
      </c>
      <c r="DZ151">
        <v>0.18024011000000001</v>
      </c>
    </row>
    <row r="153" spans="1:130" ht="23.4" x14ac:dyDescent="0.45">
      <c r="C153" s="1" t="s">
        <v>2</v>
      </c>
    </row>
    <row r="154" spans="1:130" x14ac:dyDescent="0.3">
      <c r="C154" t="s">
        <v>3</v>
      </c>
      <c r="D154" t="s">
        <v>4</v>
      </c>
      <c r="E154" t="s">
        <v>5</v>
      </c>
      <c r="F154" t="s">
        <v>6</v>
      </c>
      <c r="G154" t="s">
        <v>12</v>
      </c>
      <c r="H154" t="s">
        <v>13</v>
      </c>
      <c r="I154" t="s">
        <v>14</v>
      </c>
      <c r="J154" t="s">
        <v>15</v>
      </c>
      <c r="K154" t="s">
        <v>16</v>
      </c>
      <c r="L154" t="s">
        <v>17</v>
      </c>
      <c r="M154" t="s">
        <v>18</v>
      </c>
      <c r="N154" t="s">
        <v>19</v>
      </c>
      <c r="O154" t="s">
        <v>45</v>
      </c>
      <c r="P154" t="s">
        <v>46</v>
      </c>
      <c r="Q154" t="s">
        <v>47</v>
      </c>
      <c r="R154" t="s">
        <v>48</v>
      </c>
      <c r="S154" t="s">
        <v>49</v>
      </c>
      <c r="T154" t="s">
        <v>50</v>
      </c>
      <c r="U154" t="s">
        <v>51</v>
      </c>
      <c r="V154" t="s">
        <v>52</v>
      </c>
      <c r="W154" t="s">
        <v>53</v>
      </c>
      <c r="X154" t="s">
        <v>54</v>
      </c>
      <c r="Y154" t="s">
        <v>55</v>
      </c>
      <c r="Z154" t="s">
        <v>56</v>
      </c>
      <c r="AA154" t="s">
        <v>57</v>
      </c>
      <c r="AB154" t="s">
        <v>58</v>
      </c>
      <c r="AC154" t="s">
        <v>59</v>
      </c>
      <c r="AD154" t="s">
        <v>60</v>
      </c>
      <c r="AE154" t="s">
        <v>61</v>
      </c>
      <c r="AF154" t="s">
        <v>83</v>
      </c>
      <c r="AG154" t="s">
        <v>84</v>
      </c>
      <c r="AH154" t="s">
        <v>85</v>
      </c>
      <c r="AI154" t="s">
        <v>86</v>
      </c>
      <c r="AJ154" t="s">
        <v>87</v>
      </c>
      <c r="AK154" t="s">
        <v>88</v>
      </c>
      <c r="AL154" t="s">
        <v>89</v>
      </c>
      <c r="AM154" t="s">
        <v>90</v>
      </c>
      <c r="AN154" t="s">
        <v>91</v>
      </c>
      <c r="AO154" t="s">
        <v>92</v>
      </c>
      <c r="AP154" t="s">
        <v>93</v>
      </c>
      <c r="AQ154" t="s">
        <v>94</v>
      </c>
      <c r="AR154" t="s">
        <v>95</v>
      </c>
      <c r="AS154" t="s">
        <v>96</v>
      </c>
      <c r="AT154" t="s">
        <v>97</v>
      </c>
      <c r="AU154" t="s">
        <v>98</v>
      </c>
      <c r="AV154" t="s">
        <v>99</v>
      </c>
      <c r="AW154" t="s">
        <v>100</v>
      </c>
      <c r="AX154" t="s">
        <v>101</v>
      </c>
      <c r="AY154" t="s">
        <v>102</v>
      </c>
      <c r="AZ154" t="s">
        <v>103</v>
      </c>
      <c r="BA154" t="s">
        <v>461</v>
      </c>
      <c r="BB154" t="s">
        <v>462</v>
      </c>
      <c r="BC154" t="s">
        <v>463</v>
      </c>
      <c r="BD154" t="s">
        <v>464</v>
      </c>
      <c r="BE154" t="s">
        <v>465</v>
      </c>
      <c r="BF154" t="s">
        <v>466</v>
      </c>
      <c r="BG154" t="s">
        <v>467</v>
      </c>
      <c r="BH154" t="s">
        <v>468</v>
      </c>
      <c r="BI154" t="s">
        <v>469</v>
      </c>
      <c r="BJ154" t="s">
        <v>470</v>
      </c>
      <c r="BK154" t="s">
        <v>471</v>
      </c>
      <c r="BL154" t="s">
        <v>472</v>
      </c>
      <c r="BM154" t="s">
        <v>473</v>
      </c>
      <c r="BN154" t="s">
        <v>474</v>
      </c>
      <c r="BO154" t="s">
        <v>475</v>
      </c>
      <c r="BP154" t="s">
        <v>476</v>
      </c>
      <c r="BQ154" t="s">
        <v>477</v>
      </c>
      <c r="BR154" t="s">
        <v>478</v>
      </c>
      <c r="BS154" t="s">
        <v>479</v>
      </c>
      <c r="BT154" t="s">
        <v>480</v>
      </c>
      <c r="BU154" t="s">
        <v>481</v>
      </c>
      <c r="BV154" t="s">
        <v>482</v>
      </c>
      <c r="BW154" t="s">
        <v>483</v>
      </c>
      <c r="BX154" t="s">
        <v>484</v>
      </c>
      <c r="BY154" t="s">
        <v>485</v>
      </c>
      <c r="BZ154" t="s">
        <v>486</v>
      </c>
      <c r="CA154" t="s">
        <v>487</v>
      </c>
      <c r="CB154" t="s">
        <v>488</v>
      </c>
      <c r="CC154" t="s">
        <v>489</v>
      </c>
      <c r="CD154" t="s">
        <v>490</v>
      </c>
      <c r="CE154" t="s">
        <v>491</v>
      </c>
      <c r="CF154" t="s">
        <v>492</v>
      </c>
      <c r="CG154" t="s">
        <v>493</v>
      </c>
      <c r="CH154" t="s">
        <v>494</v>
      </c>
      <c r="CI154" t="s">
        <v>495</v>
      </c>
      <c r="CJ154" t="s">
        <v>496</v>
      </c>
      <c r="CK154" t="s">
        <v>497</v>
      </c>
      <c r="CL154" t="s">
        <v>498</v>
      </c>
      <c r="CM154" t="s">
        <v>499</v>
      </c>
      <c r="CN154" t="s">
        <v>500</v>
      </c>
      <c r="CO154" t="s">
        <v>501</v>
      </c>
      <c r="CP154" t="s">
        <v>502</v>
      </c>
      <c r="CQ154" t="s">
        <v>503</v>
      </c>
      <c r="CR154" t="s">
        <v>504</v>
      </c>
      <c r="CS154" t="s">
        <v>505</v>
      </c>
      <c r="CT154" t="s">
        <v>506</v>
      </c>
      <c r="CU154" t="s">
        <v>507</v>
      </c>
      <c r="CV154" t="s">
        <v>508</v>
      </c>
      <c r="CW154" t="s">
        <v>509</v>
      </c>
      <c r="CX154" t="s">
        <v>510</v>
      </c>
      <c r="CY154" t="s">
        <v>511</v>
      </c>
      <c r="CZ154" t="s">
        <v>512</v>
      </c>
      <c r="DA154" t="s">
        <v>513</v>
      </c>
      <c r="DB154" t="s">
        <v>514</v>
      </c>
      <c r="DC154" t="s">
        <v>515</v>
      </c>
      <c r="DD154" t="s">
        <v>516</v>
      </c>
      <c r="DE154" t="s">
        <v>517</v>
      </c>
      <c r="DF154" t="s">
        <v>518</v>
      </c>
      <c r="DG154" t="s">
        <v>519</v>
      </c>
      <c r="DH154" t="s">
        <v>520</v>
      </c>
      <c r="DI154" t="s">
        <v>521</v>
      </c>
      <c r="DJ154" t="s">
        <v>522</v>
      </c>
      <c r="DK154" t="s">
        <v>523</v>
      </c>
      <c r="DL154" t="s">
        <v>524</v>
      </c>
      <c r="DM154" t="s">
        <v>525</v>
      </c>
      <c r="DN154" t="s">
        <v>526</v>
      </c>
      <c r="DO154" t="s">
        <v>527</v>
      </c>
      <c r="DP154" t="s">
        <v>528</v>
      </c>
      <c r="DQ154" t="s">
        <v>529</v>
      </c>
      <c r="DR154" t="s">
        <v>530</v>
      </c>
      <c r="DS154" t="s">
        <v>531</v>
      </c>
      <c r="DT154" t="s">
        <v>532</v>
      </c>
      <c r="DU154" t="s">
        <v>533</v>
      </c>
      <c r="DV154" t="s">
        <v>534</v>
      </c>
      <c r="DW154" t="s">
        <v>535</v>
      </c>
      <c r="DX154" t="s">
        <v>536</v>
      </c>
      <c r="DY154" t="s">
        <v>537</v>
      </c>
      <c r="DZ154" t="s">
        <v>538</v>
      </c>
    </row>
    <row r="155" spans="1:130" x14ac:dyDescent="0.3">
      <c r="C155" cm="1">
        <f t="array" ref="C155">MAX(0, SUMPRODUCT(Table2[n_01],Table3[Input])+Table5[b1])</f>
        <v>0</v>
      </c>
      <c r="D155" cm="1">
        <f t="array" ref="D155">MAX(0, SUMPRODUCT(Table2[n_02],Table3[Input])+Table5[b2])</f>
        <v>0.44803656800000002</v>
      </c>
      <c r="E155" cm="1">
        <f t="array" ref="E155">MAX(0, SUMPRODUCT(Table2[n_03],Table3[Input])+Table5[b3])</f>
        <v>0</v>
      </c>
      <c r="F155" cm="1">
        <f t="array" ref="F155">MAX(0, SUMPRODUCT(Table2[n_04],Table3[Input])+Table5[b4])</f>
        <v>0.65911429729999993</v>
      </c>
      <c r="G155" cm="1">
        <f t="array" ref="G155">MAX(0, SUMPRODUCT(Table2[n_05],Table3[Input])+Table5[b5])</f>
        <v>0.24005834400000003</v>
      </c>
      <c r="H155" cm="1">
        <f t="array" ref="H155">MAX(0, SUMPRODUCT(Table2[n_06],Table3[Input])+Table5[b6])</f>
        <v>0.66999577600000004</v>
      </c>
      <c r="I155" cm="1">
        <f t="array" ref="I155">MAX(0, SUMPRODUCT(Table2[n_07],Table3[Input])+Table5[b7])</f>
        <v>0</v>
      </c>
      <c r="J155" cm="1">
        <f t="array" ref="J155">MAX(0, SUMPRODUCT(Table2[n_08],Table3[Input])+Table5[b8])</f>
        <v>1.8370216774000001</v>
      </c>
      <c r="K155" cm="1">
        <f t="array" ref="K155">MAX(0, SUMPRODUCT(Table2[n_09],Table3[Input])+Table5[b9])</f>
        <v>0.95215282960000025</v>
      </c>
      <c r="L155" cm="1">
        <f t="array" ref="L155">MAX(0, SUMPRODUCT(Table2[n_10],Table3[Input])+Table5[b10])</f>
        <v>1.5039367900000031E-2</v>
      </c>
      <c r="M155" cm="1">
        <f t="array" ref="M155">MAX(0, SUMPRODUCT(Table2[n_11],Table3[Input])+Table5[b11])</f>
        <v>0.18502899</v>
      </c>
      <c r="N155" cm="1">
        <f t="array" ref="N155">MAX(0, SUMPRODUCT(Table2[n_12],Table3[Input])+Table5[b12])</f>
        <v>0</v>
      </c>
      <c r="O155" cm="1">
        <f t="array" ref="O155">MAX(0, SUMPRODUCT(Table2[n_13],Table3[Input])+Table5[b13])</f>
        <v>0.82135463629999994</v>
      </c>
      <c r="P155" cm="1">
        <f t="array" ref="P155">MAX(0, SUMPRODUCT(Table2[n_14],Table3[Input])+Table5[b14])</f>
        <v>0</v>
      </c>
      <c r="Q155" cm="1">
        <f t="array" ref="Q155">MAX(0, SUMPRODUCT(Table2[n_15],Table3[Input])+Table5[b15])</f>
        <v>0.29227602700000005</v>
      </c>
      <c r="R155" cm="1">
        <f t="array" ref="R155">MAX(0, SUMPRODUCT(Table2[n_16],Table3[Input])+Table5[b16])</f>
        <v>0.48823120199999998</v>
      </c>
      <c r="S155" cm="1">
        <f t="array" ref="S155">MAX(0, SUMPRODUCT(Table2[n_17],Table3[Input])+Table5[b17])</f>
        <v>0</v>
      </c>
      <c r="T155" cm="1">
        <f t="array" ref="T155">MAX(0, SUMPRODUCT(Table2[n_18],Table3[Input])+Table5[b18])</f>
        <v>0.4551660420000001</v>
      </c>
      <c r="U155" cm="1">
        <f t="array" ref="U155">MAX(0, SUMPRODUCT(Table2[n_19],Table3[Input])+Table5[b19])</f>
        <v>0</v>
      </c>
      <c r="V155" cm="1">
        <f t="array" ref="V155">MAX(0, SUMPRODUCT(Table2[n_20],Table3[Input])+Table5[b20])</f>
        <v>0</v>
      </c>
      <c r="W155" cm="1">
        <f t="array" ref="W155">MAX(0, SUMPRODUCT(Table2[n_21],Table3[Input])+Table5[b21])</f>
        <v>0.93677130400000008</v>
      </c>
      <c r="X155" cm="1">
        <f t="array" ref="X155">MAX(0, SUMPRODUCT(Table2[n_22],Table3[Input])+Table5[b22])</f>
        <v>0.53466667800000001</v>
      </c>
      <c r="Y155" cm="1">
        <f t="array" ref="Y155">MAX(0, SUMPRODUCT(Table2[n_23],Table3[Input])+Table5[b23])</f>
        <v>0</v>
      </c>
      <c r="Z155" cm="1">
        <f t="array" ref="Z155">MAX(0, SUMPRODUCT(Table2[n_24],Table3[Input])+Table5[b24])</f>
        <v>0</v>
      </c>
      <c r="AA155" cm="1">
        <f t="array" ref="AA155">MAX(0, SUMPRODUCT(Table2[n_25],Table3[Input])+Table5[b25])</f>
        <v>1.4000818559999999</v>
      </c>
      <c r="AB155" cm="1">
        <f t="array" ref="AB155">MAX(0, SUMPRODUCT(Table2[n_26],Table3[Input])+Table5[b26])</f>
        <v>1.2671958185000001</v>
      </c>
      <c r="AC155" cm="1">
        <f t="array" ref="AC155">MAX(0, SUMPRODUCT(Table2[n_27],Table3[Input])+Table5[b27])</f>
        <v>0</v>
      </c>
      <c r="AD155" cm="1">
        <f t="array" ref="AD155">MAX(0, SUMPRODUCT(Table2[n_28],Table3[Input])+Table5[b28])</f>
        <v>1.0244238630000002</v>
      </c>
      <c r="AE155" cm="1">
        <f t="array" ref="AE155">MAX(0, SUMPRODUCT(Table2[n_29],Table3[Input])+Table5[b29])</f>
        <v>0.76992750449999992</v>
      </c>
      <c r="AF155" cm="1">
        <f t="array" ref="AF155">MAX(0, SUMPRODUCT(Table2[n_30],Table3[Input])+Table5[b30])</f>
        <v>0</v>
      </c>
      <c r="AG155" cm="1">
        <f t="array" ref="AG155">MAX(0, SUMPRODUCT(Table2[n_31],Table3[Input])+Table5[b31])</f>
        <v>0</v>
      </c>
      <c r="AH155" cm="1">
        <f t="array" ref="AH155">MAX(0, SUMPRODUCT(Table2[n_32],Table3[Input])+Table5[b32])</f>
        <v>0</v>
      </c>
      <c r="AI155" cm="1">
        <f t="array" ref="AI155">MAX(0, SUMPRODUCT(Table2[n_33],Table3[Input])+Table5[b33])</f>
        <v>1.0977771284999998</v>
      </c>
      <c r="AJ155" cm="1">
        <f t="array" ref="AJ155">MAX(0, SUMPRODUCT(Table2[n_34],Table3[Input])+Table5[b34])</f>
        <v>0.77640050559999996</v>
      </c>
      <c r="AK155" cm="1">
        <f t="array" ref="AK155">MAX(0, SUMPRODUCT(Table2[n_35],Table3[Input])+Table5[b35])</f>
        <v>0</v>
      </c>
      <c r="AL155" cm="1">
        <f t="array" ref="AL155">MAX(0, SUMPRODUCT(Table2[n_36],Table3[Input])+Table5[b36])</f>
        <v>0.47796471859999995</v>
      </c>
      <c r="AM155" cm="1">
        <f t="array" ref="AM155">MAX(0, SUMPRODUCT(Table2[n_37],Table3[Input])+Table5[b37])</f>
        <v>0.32231950779999985</v>
      </c>
      <c r="AN155" cm="1">
        <f t="array" ref="AN155">MAX(0, SUMPRODUCT(Table2[n_38],Table3[Input])+Table5[b38])</f>
        <v>6.7041717999999972E-2</v>
      </c>
      <c r="AO155" cm="1">
        <f t="array" ref="AO155">MAX(0, SUMPRODUCT(Table2[n_39],Table3[Input])+Table5[b39])</f>
        <v>0</v>
      </c>
      <c r="AP155" cm="1">
        <f t="array" ref="AP155">MAX(0, SUMPRODUCT(Table2[n_40],Table3[Input])+Table5[b40])</f>
        <v>0</v>
      </c>
      <c r="AQ155" cm="1">
        <f t="array" ref="AQ155">MAX(0, SUMPRODUCT(Table2[n_41],Table3[Input])+Table5[b41])</f>
        <v>4.4382023999999909E-2</v>
      </c>
      <c r="AR155" cm="1">
        <f t="array" ref="AR155">MAX(0, SUMPRODUCT(Table2[n_42],Table3[Input])+Table5[b42])</f>
        <v>7.836938849999997E-2</v>
      </c>
      <c r="AS155" cm="1">
        <f t="array" ref="AS155">MAX(0, SUMPRODUCT(Table2[n_43],Table3[Input])+Table5[b43])</f>
        <v>2.0112828440999997</v>
      </c>
      <c r="AT155" cm="1">
        <f t="array" ref="AT155">MAX(0, SUMPRODUCT(Table2[n_44],Table3[Input])+Table5[b44])</f>
        <v>0</v>
      </c>
      <c r="AU155" cm="1">
        <f t="array" ref="AU155">MAX(0, SUMPRODUCT(Table2[n_45],Table3[Input])+Table5[b45])</f>
        <v>4.9646136000000195E-2</v>
      </c>
      <c r="AV155" cm="1">
        <f t="array" ref="AV155">MAX(0, SUMPRODUCT(Table2[n_46],Table3[Input])+Table5[b46])</f>
        <v>0</v>
      </c>
      <c r="AW155" cm="1">
        <f t="array" ref="AW155">MAX(0, SUMPRODUCT(Table2[n_47],Table3[Input])+Table5[b47])</f>
        <v>0.67162642400000006</v>
      </c>
      <c r="AX155" cm="1">
        <f t="array" ref="AX155">MAX(0, SUMPRODUCT(Table2[n_48],Table3[Input])+Table5[b48])</f>
        <v>0.69117079999999997</v>
      </c>
      <c r="AY155" cm="1">
        <f t="array" ref="AY155">MAX(0, SUMPRODUCT(Table2[n_49],Table3[Input])+Table5[b49])</f>
        <v>0.51588179820000013</v>
      </c>
      <c r="AZ155" cm="1">
        <f t="array" ref="AZ155">MAX(0, SUMPRODUCT(Table2[n_50],Table3[Input])+Table5[b50])</f>
        <v>0</v>
      </c>
      <c r="BA155" cm="1">
        <f t="array" ref="BA155">MAX(0, SUMPRODUCT(Table2[n_51],Table3[Input])+Table5[b51])</f>
        <v>0.80676702900000008</v>
      </c>
      <c r="BB155" cm="1">
        <f t="array" ref="BB155">MAX(0, SUMPRODUCT(Table2[n_52],Table3[Input])+Table5[b52])</f>
        <v>0</v>
      </c>
      <c r="BC155" cm="1">
        <f t="array" ref="BC155">MAX(0, SUMPRODUCT(Table2[n_53],Table3[Input])+Table5[b53])</f>
        <v>0</v>
      </c>
      <c r="BD155" cm="1">
        <f t="array" ref="BD155">MAX(0, SUMPRODUCT(Table2[n_54],Table3[Input])+Table5[b54])</f>
        <v>8.1312146000000057E-2</v>
      </c>
      <c r="BE155" cm="1">
        <f t="array" ref="BE155">MAX(0, SUMPRODUCT(Table2[n_55],Table3[Input])+Table5[b55])</f>
        <v>1.2714942100000002</v>
      </c>
      <c r="BF155" cm="1">
        <f t="array" ref="BF155">MAX(0, SUMPRODUCT(Table2[n_56],Table3[Input])+Table5[b56])</f>
        <v>0.66196943429999999</v>
      </c>
      <c r="BG155" cm="1">
        <f t="array" ref="BG155">MAX(0, SUMPRODUCT(Table2[n_57],Table3[Input])+Table5[b57])</f>
        <v>0</v>
      </c>
      <c r="BH155" cm="1">
        <f t="array" ref="BH155">MAX(0, SUMPRODUCT(Table2[n_58],Table3[Input])+Table5[b58])</f>
        <v>0</v>
      </c>
      <c r="BI155" cm="1">
        <f t="array" ref="BI155">MAX(0, SUMPRODUCT(Table2[n_59],Table3[Input])+Table5[b59])</f>
        <v>1.0903283990000001</v>
      </c>
      <c r="BJ155" cm="1">
        <f t="array" ref="BJ155">MAX(0, SUMPRODUCT(Table2[n_60],Table3[Input])+Table5[b60])</f>
        <v>1.2923827607000002</v>
      </c>
      <c r="BK155" cm="1">
        <f t="array" ref="BK155">MAX(0, SUMPRODUCT(Table2[n_61],Table3[Input])+Table5[b61])</f>
        <v>0.77949697900000015</v>
      </c>
      <c r="BL155" cm="1">
        <f t="array" ref="BL155">MAX(0, SUMPRODUCT(Table2[n_62],Table3[Input])+Table5[b62])</f>
        <v>0.56756160557999991</v>
      </c>
      <c r="BM155" cm="1">
        <f t="array" ref="BM155">MAX(0, SUMPRODUCT(Table2[n_63],Table3[Input])+Table5[b63])</f>
        <v>0</v>
      </c>
      <c r="BN155" cm="1">
        <f t="array" ref="BN155">MAX(0, SUMPRODUCT(Table2[n_64],Table3[Input])+Table5[b64])</f>
        <v>1.7268529199999998</v>
      </c>
      <c r="BO155" cm="1">
        <f t="array" ref="BO155">MAX(0, SUMPRODUCT(Table2[n_65],Table3[Input])+Table5[b65])</f>
        <v>0.43912827820000006</v>
      </c>
      <c r="BP155" cm="1">
        <f t="array" ref="BP155">MAX(0, SUMPRODUCT(Table2[n_66],Table3[Input])+Table5[b66])</f>
        <v>1.2300949110000001</v>
      </c>
      <c r="BQ155" cm="1">
        <f t="array" ref="BQ155">MAX(0, SUMPRODUCT(Table2[n_67],Table3[Input])+Table5[b67])</f>
        <v>0.95646451129999999</v>
      </c>
      <c r="BR155" cm="1">
        <f t="array" ref="BR155">MAX(0, SUMPRODUCT(Table2[n_68],Table3[Input])+Table5[b68])</f>
        <v>0.40363203059999986</v>
      </c>
      <c r="BS155" cm="1">
        <f t="array" ref="BS155">MAX(0, SUMPRODUCT(Table2[n_69],Table3[Input])+Table5[b69])</f>
        <v>0.13957471100000002</v>
      </c>
      <c r="BT155" cm="1">
        <f t="array" ref="BT155">MAX(0, SUMPRODUCT(Table2[n_70],Table3[Input])+Table5[b70])</f>
        <v>0.95419236900000004</v>
      </c>
      <c r="BU155" cm="1">
        <f t="array" ref="BU155">MAX(0, SUMPRODUCT(Table2[n_71],Table3[Input])+Table5[b71])</f>
        <v>0</v>
      </c>
      <c r="BV155" cm="1">
        <f t="array" ref="BV155">MAX(0, SUMPRODUCT(Table2[n_72],Table3[Input])+Table5[b72])</f>
        <v>0.989101601</v>
      </c>
      <c r="BW155" cm="1">
        <f t="array" ref="BW155">MAX(0, SUMPRODUCT(Table2[n_73],Table3[Input])+Table5[b73])</f>
        <v>0.67073946859999989</v>
      </c>
      <c r="BX155" cm="1">
        <f t="array" ref="BX155">MAX(0, SUMPRODUCT(Table2[n_74],Table3[Input])+Table5[b74])</f>
        <v>8.9296717000000192E-2</v>
      </c>
      <c r="BY155" cm="1">
        <f t="array" ref="BY155">MAX(0, SUMPRODUCT(Table2[n_75],Table3[Input])+Table5[b75])</f>
        <v>0.34767940959999999</v>
      </c>
      <c r="BZ155" cm="1">
        <f t="array" ref="BZ155">MAX(0, SUMPRODUCT(Table2[n_76],Table3[Input])+Table5[b76])</f>
        <v>0.95644051200000013</v>
      </c>
      <c r="CA155" cm="1">
        <f t="array" ref="CA155">MAX(0, SUMPRODUCT(Table2[n_77],Table3[Input])+Table5[b77])</f>
        <v>7.5196005800000021E-2</v>
      </c>
      <c r="CB155" cm="1">
        <f t="array" ref="CB155">MAX(0, SUMPRODUCT(Table2[n_78],Table3[Input])+Table5[b78])</f>
        <v>0.11821844999999986</v>
      </c>
      <c r="CC155" cm="1">
        <f t="array" ref="CC155">MAX(0, SUMPRODUCT(Table2[n_79],Table3[Input])+Table5[b79])</f>
        <v>0</v>
      </c>
      <c r="CD155" cm="1">
        <f t="array" ref="CD155">MAX(0, SUMPRODUCT(Table2[n_80],Table3[Input])+Table5[b80])</f>
        <v>0.2481274274999998</v>
      </c>
      <c r="CE155" cm="1">
        <f t="array" ref="CE155">MAX(0, SUMPRODUCT(Table2[n_81],Table3[Input])+Table5[b81])</f>
        <v>1.0144299089000002</v>
      </c>
      <c r="CF155" cm="1">
        <f t="array" ref="CF155">MAX(0, SUMPRODUCT(Table2[n_82],Table3[Input])+Table5[b82])</f>
        <v>0</v>
      </c>
      <c r="CG155" cm="1">
        <f t="array" ref="CG155">MAX(0, SUMPRODUCT(Table2[n_83],Table3[Input])+Table5[b83])</f>
        <v>0.21932561099999992</v>
      </c>
      <c r="CH155" cm="1">
        <f t="array" ref="CH155">MAX(0, SUMPRODUCT(Table2[n_84],Table3[Input])+Table5[b84])</f>
        <v>0</v>
      </c>
      <c r="CI155" cm="1">
        <f t="array" ref="CI155">MAX(0, SUMPRODUCT(Table2[n_85],Table3[Input])+Table5[b85])</f>
        <v>0.95773086899999993</v>
      </c>
      <c r="CJ155" cm="1">
        <f t="array" ref="CJ155">MAX(0, SUMPRODUCT(Table2[n_86],Table3[Input])+Table5[b86])</f>
        <v>0.73618860499999994</v>
      </c>
      <c r="CK155" cm="1">
        <f t="array" ref="CK155">MAX(0, SUMPRODUCT(Table2[n_87],Table3[Input])+Table5[b87])</f>
        <v>0</v>
      </c>
      <c r="CL155" cm="1">
        <f t="array" ref="CL155">MAX(0, SUMPRODUCT(Table2[n_88],Table3[Input])+Table5[b88])</f>
        <v>1.053981515</v>
      </c>
      <c r="CM155" cm="1">
        <f t="array" ref="CM155">MAX(0, SUMPRODUCT(Table2[n_89],Table3[Input])+Table5[b89])</f>
        <v>0</v>
      </c>
      <c r="CN155" cm="1">
        <f t="array" ref="CN155">MAX(0, SUMPRODUCT(Table2[n_90],Table3[Input])+Table5[b90])</f>
        <v>1.1045989870000001</v>
      </c>
      <c r="CO155" cm="1">
        <f t="array" ref="CO155">MAX(0, SUMPRODUCT(Table2[n_91],Table3[Input])+Table5[b91])</f>
        <v>0</v>
      </c>
      <c r="CP155" cm="1">
        <f t="array" ref="CP155">MAX(0, SUMPRODUCT(Table2[n_92],Table3[Input])+Table5[b92])</f>
        <v>1.7453391295999998</v>
      </c>
      <c r="CQ155" cm="1">
        <f t="array" ref="CQ155">MAX(0, SUMPRODUCT(Table2[n_93],Table3[Input])+Table5[b93])</f>
        <v>0</v>
      </c>
      <c r="CR155" cm="1">
        <f t="array" ref="CR155">MAX(0, SUMPRODUCT(Table2[n_94],Table3[Input])+Table5[b94])</f>
        <v>0</v>
      </c>
      <c r="CS155" cm="1">
        <f t="array" ref="CS155">MAX(0, SUMPRODUCT(Table2[n_95],Table3[Input])+Table5[b95])</f>
        <v>0.43848877499999989</v>
      </c>
      <c r="CT155" cm="1">
        <f t="array" ref="CT155">MAX(0, SUMPRODUCT(Table2[n_96],Table3[Input])+Table5[b96])</f>
        <v>0.19909714399999998</v>
      </c>
      <c r="CU155" cm="1">
        <f t="array" ref="CU155">MAX(0, SUMPRODUCT(Table2[n_97],Table3[Input])+Table5[b97])</f>
        <v>1.2314923732</v>
      </c>
      <c r="CV155" cm="1">
        <f t="array" ref="CV155">MAX(0, SUMPRODUCT(Table2[n_98],Table3[Input])+Table5[b98])</f>
        <v>0</v>
      </c>
      <c r="CW155" cm="1">
        <f t="array" ref="CW155">MAX(0, SUMPRODUCT(Table2[n_99],Table3[Input])+Table5[b99])</f>
        <v>0</v>
      </c>
      <c r="CX155" cm="1">
        <f t="array" ref="CX155">MAX(0, SUMPRODUCT(Table2[n_100],Table3[Input])+Table5[b100])</f>
        <v>0.73577132700000003</v>
      </c>
      <c r="CY155" cm="1">
        <f t="array" ref="CY155">MAX(0, SUMPRODUCT(Table2[n_101],Table3[Input])+Table5[b101])</f>
        <v>0</v>
      </c>
      <c r="CZ155" cm="1">
        <f t="array" ref="CZ155">MAX(0, SUMPRODUCT(Table2[n_102],Table3[Input])+Table5[b102])</f>
        <v>1.102651872</v>
      </c>
      <c r="DA155" cm="1">
        <f t="array" ref="DA155">MAX(0, SUMPRODUCT(Table2[n_103],Table3[Input])+Table5[b103])</f>
        <v>0</v>
      </c>
      <c r="DB155" cm="1">
        <f t="array" ref="DB155">MAX(0, SUMPRODUCT(Table2[n_104],Table3[Input])+Table5[b104])</f>
        <v>0.87357203250000004</v>
      </c>
      <c r="DC155" cm="1">
        <f t="array" ref="DC155">MAX(0, SUMPRODUCT(Table2[n_105],Table3[Input])+Table5[b105])</f>
        <v>1.677832765</v>
      </c>
      <c r="DD155" cm="1">
        <f t="array" ref="DD155">MAX(0, SUMPRODUCT(Table2[n_106],Table3[Input])+Table5[b106])</f>
        <v>0</v>
      </c>
      <c r="DE155" cm="1">
        <f t="array" ref="DE155">MAX(0, SUMPRODUCT(Table2[n_107],Table3[Input])+Table5[b107])</f>
        <v>1.9238832449999996</v>
      </c>
      <c r="DF155" cm="1">
        <f t="array" ref="DF155">MAX(0, SUMPRODUCT(Table2[n_108],Table3[Input])+Table5[b108])</f>
        <v>0</v>
      </c>
      <c r="DG155" cm="1">
        <f t="array" ref="DG155">MAX(0, SUMPRODUCT(Table2[n_109],Table3[Input])+Table5[b109])</f>
        <v>0</v>
      </c>
      <c r="DH155" cm="1">
        <f t="array" ref="DH155">MAX(0, SUMPRODUCT(Table2[n_110],Table3[Input])+Table5[b110])</f>
        <v>0.73751427599999986</v>
      </c>
      <c r="DI155" cm="1">
        <f t="array" ref="DI155">MAX(0, SUMPRODUCT(Table2[n_111],Table3[Input])+Table5[b111])</f>
        <v>0.46448375899999994</v>
      </c>
      <c r="DJ155" cm="1">
        <f t="array" ref="DJ155">MAX(0, SUMPRODUCT(Table2[n_112],Table3[Input])+Table5[b112])</f>
        <v>0</v>
      </c>
      <c r="DK155" cm="1">
        <f t="array" ref="DK155">MAX(0, SUMPRODUCT(Table2[n_113],Table3[Input])+Table5[b113])</f>
        <v>0.21672955471999997</v>
      </c>
      <c r="DL155" cm="1">
        <f t="array" ref="DL155">MAX(0, SUMPRODUCT(Table2[n_114],Table3[Input])+Table5[b114])</f>
        <v>0</v>
      </c>
      <c r="DM155" cm="1">
        <f t="array" ref="DM155">MAX(0, SUMPRODUCT(Table2[n_115],Table3[Input])+Table5[b115])</f>
        <v>0.80629156200000007</v>
      </c>
      <c r="DN155" cm="1">
        <f t="array" ref="DN155">MAX(0, SUMPRODUCT(Table2[n_116],Table3[Input])+Table5[b116])</f>
        <v>1.7974619639999998</v>
      </c>
      <c r="DO155" cm="1">
        <f t="array" ref="DO155">MAX(0, SUMPRODUCT(Table2[n_117],Table3[Input])+Table5[b117])</f>
        <v>0.62243822900000001</v>
      </c>
      <c r="DP155" cm="1">
        <f t="array" ref="DP155">MAX(0, SUMPRODUCT(Table2[n_118],Table3[Input])+Table5[b118])</f>
        <v>0</v>
      </c>
      <c r="DQ155" cm="1">
        <f t="array" ref="DQ155">MAX(0, SUMPRODUCT(Table2[n_119],Table3[Input])+Table5[b119])</f>
        <v>0</v>
      </c>
      <c r="DR155" cm="1">
        <f t="array" ref="DR155">MAX(0, SUMPRODUCT(Table2[n_120],Table3[Input])+Table5[b120])</f>
        <v>0</v>
      </c>
      <c r="DS155" cm="1">
        <f t="array" ref="DS155">MAX(0, SUMPRODUCT(Table2[n_121],Table3[Input])+Table5[b121])</f>
        <v>0</v>
      </c>
      <c r="DT155" cm="1">
        <f t="array" ref="DT155">MAX(0, SUMPRODUCT(Table2[n_122],Table3[Input])+Table5[b122])</f>
        <v>1.64019922087</v>
      </c>
      <c r="DU155" cm="1">
        <f t="array" ref="DU155">MAX(0, SUMPRODUCT(Table2[n_123],Table3[Input])+Table5[b123])</f>
        <v>0.70834496042999995</v>
      </c>
      <c r="DV155" cm="1">
        <f t="array" ref="DV155">MAX(0, SUMPRODUCT(Table2[n_124],Table3[Input])+Table5[b124])</f>
        <v>0.62678190099999997</v>
      </c>
      <c r="DW155" cm="1">
        <f t="array" ref="DW155">MAX(0, SUMPRODUCT(Table2[n_125],Table3[Input])+Table5[b125])</f>
        <v>0.20292115899999999</v>
      </c>
      <c r="DX155" cm="1">
        <f t="array" ref="DX155">MAX(0, SUMPRODUCT(Table2[n_126],Table3[Input])+Table5[b126])</f>
        <v>0.98508882699999978</v>
      </c>
      <c r="DY155" cm="1">
        <f t="array" ref="DY155">MAX(0, SUMPRODUCT(Table2[n_127],Table3[Input])+Table5[b127])</f>
        <v>0</v>
      </c>
      <c r="DZ155" cm="1">
        <f t="array" ref="DZ155">MAX(0, SUMPRODUCT(Table2[n_128],Table3[Input])+Table5[b128])</f>
        <v>1.6602317978000003</v>
      </c>
    </row>
  </sheetData>
  <phoneticPr fontId="1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0DC1F-138F-4EFE-9C60-EBFA3A5482D9}">
  <sheetPr codeName="Sheet5">
    <tabColor theme="7"/>
  </sheetPr>
  <dimension ref="A1:L142"/>
  <sheetViews>
    <sheetView topLeftCell="A119" zoomScale="87" workbookViewId="0">
      <selection activeCell="C142" sqref="C142"/>
    </sheetView>
  </sheetViews>
  <sheetFormatPr defaultRowHeight="14.4" x14ac:dyDescent="0.3"/>
  <sheetData>
    <row r="1" spans="1:12" ht="33.6" x14ac:dyDescent="0.65">
      <c r="A1" s="2" t="s">
        <v>303</v>
      </c>
    </row>
    <row r="2" spans="1:12" ht="23.4" x14ac:dyDescent="0.45">
      <c r="A2" s="1" t="s">
        <v>1</v>
      </c>
      <c r="C2" s="1" t="s">
        <v>0</v>
      </c>
    </row>
    <row r="3" spans="1:12" x14ac:dyDescent="0.3">
      <c r="A3" t="s">
        <v>105</v>
      </c>
      <c r="C3" t="s">
        <v>252</v>
      </c>
      <c r="D3" t="s">
        <v>253</v>
      </c>
      <c r="E3" t="s">
        <v>254</v>
      </c>
      <c r="F3" t="s">
        <v>255</v>
      </c>
      <c r="G3" t="s">
        <v>256</v>
      </c>
      <c r="H3" t="s">
        <v>257</v>
      </c>
      <c r="I3" t="s">
        <v>258</v>
      </c>
      <c r="J3" t="s">
        <v>259</v>
      </c>
      <c r="K3" t="s">
        <v>260</v>
      </c>
      <c r="L3" t="s">
        <v>261</v>
      </c>
    </row>
    <row r="4" spans="1:12" x14ac:dyDescent="0.3">
      <c r="A4" s="29">
        <f>ReLU!$C$155</f>
        <v>0</v>
      </c>
      <c r="C4">
        <v>-3.1805195000000001E-2</v>
      </c>
      <c r="D4">
        <v>-0.41887780000000002</v>
      </c>
      <c r="E4">
        <v>0.25947395000000001</v>
      </c>
      <c r="F4">
        <v>0.14489599</v>
      </c>
      <c r="G4">
        <v>-0.41112799999999999</v>
      </c>
      <c r="H4">
        <v>-0.11457927</v>
      </c>
      <c r="I4">
        <v>-7.2493814000000004E-2</v>
      </c>
      <c r="J4">
        <v>-0.51281315000000005</v>
      </c>
      <c r="K4">
        <v>-0.22138745000000001</v>
      </c>
      <c r="L4">
        <v>0.36537236000000001</v>
      </c>
    </row>
    <row r="5" spans="1:12" x14ac:dyDescent="0.3">
      <c r="A5" s="29">
        <f>ReLU!$D$155</f>
        <v>0.44803656800000002</v>
      </c>
      <c r="C5">
        <v>-0.45412269999999999</v>
      </c>
      <c r="D5">
        <v>0.19758126000000001</v>
      </c>
      <c r="E5">
        <v>0.44327274</v>
      </c>
      <c r="F5">
        <v>-0.14146559</v>
      </c>
      <c r="G5">
        <v>0.19225961</v>
      </c>
      <c r="H5">
        <v>7.1814790000000003E-2</v>
      </c>
      <c r="I5">
        <v>-0.33143996999999997</v>
      </c>
      <c r="J5">
        <v>-0.39459696</v>
      </c>
      <c r="K5">
        <v>0.17152700000000001</v>
      </c>
      <c r="L5">
        <v>-0.34849933</v>
      </c>
    </row>
    <row r="6" spans="1:12" x14ac:dyDescent="0.3">
      <c r="A6" s="29">
        <f>ReLU!$E$155</f>
        <v>0</v>
      </c>
      <c r="C6">
        <v>-0.32418069999999999</v>
      </c>
      <c r="D6">
        <v>0.43158550000000001</v>
      </c>
      <c r="E6">
        <v>-0.10795168600000001</v>
      </c>
      <c r="F6">
        <v>-0.35527533</v>
      </c>
      <c r="G6">
        <v>0.19443437</v>
      </c>
      <c r="H6">
        <v>-0.22702785</v>
      </c>
      <c r="I6">
        <v>0.3302832</v>
      </c>
      <c r="J6">
        <v>-0.32196614000000001</v>
      </c>
      <c r="K6">
        <v>0.13597876</v>
      </c>
      <c r="L6">
        <v>-0.48892649999999999</v>
      </c>
    </row>
    <row r="7" spans="1:12" x14ac:dyDescent="0.3">
      <c r="A7" s="29">
        <f>ReLU!$F$155</f>
        <v>0.65911429729999993</v>
      </c>
      <c r="C7">
        <v>-0.5691058</v>
      </c>
      <c r="D7">
        <v>-0.15267198000000001</v>
      </c>
      <c r="E7">
        <v>4.6311119999999997E-2</v>
      </c>
      <c r="F7">
        <v>-0.83959790000000001</v>
      </c>
      <c r="G7">
        <v>0.24722952000000001</v>
      </c>
      <c r="H7">
        <v>-0.34918734000000001</v>
      </c>
      <c r="I7">
        <v>5.2668449999999999E-2</v>
      </c>
      <c r="J7">
        <v>6.7648343999999999E-2</v>
      </c>
      <c r="K7">
        <v>0.79974586000000003</v>
      </c>
      <c r="L7">
        <v>-0.4509203</v>
      </c>
    </row>
    <row r="8" spans="1:12" x14ac:dyDescent="0.3">
      <c r="A8" s="29">
        <f>ReLU!$G$155</f>
        <v>0.24005834400000003</v>
      </c>
      <c r="C8">
        <v>4.0024437000000003E-2</v>
      </c>
      <c r="D8">
        <v>6.7946560000000003E-2</v>
      </c>
      <c r="E8">
        <v>5.2050890000000002E-2</v>
      </c>
      <c r="F8">
        <v>-4.4038913999999998E-2</v>
      </c>
      <c r="G8">
        <v>-0.904914</v>
      </c>
      <c r="H8">
        <v>0.36275985999999999</v>
      </c>
      <c r="I8">
        <v>-5.2724104000000001E-2</v>
      </c>
      <c r="J8">
        <v>-0.36126923999999999</v>
      </c>
      <c r="K8">
        <v>-0.36969944999999999</v>
      </c>
      <c r="L8">
        <v>-0.39214159999999998</v>
      </c>
    </row>
    <row r="9" spans="1:12" x14ac:dyDescent="0.3">
      <c r="A9" s="29">
        <f>ReLU!$H$155</f>
        <v>0.66999577600000004</v>
      </c>
      <c r="C9">
        <v>0.16234888</v>
      </c>
      <c r="D9">
        <v>3.1218679999999999E-2</v>
      </c>
      <c r="E9">
        <v>-2.2675397E-2</v>
      </c>
      <c r="F9">
        <v>8.5911915000000005E-2</v>
      </c>
      <c r="G9">
        <v>-0.29460999999999998</v>
      </c>
      <c r="H9">
        <v>0.14143874000000001</v>
      </c>
      <c r="I9">
        <v>2.7913433000000001E-2</v>
      </c>
      <c r="J9">
        <v>-0.39704612</v>
      </c>
      <c r="K9">
        <v>0.17071337</v>
      </c>
      <c r="L9">
        <v>0.15935042999999999</v>
      </c>
    </row>
    <row r="10" spans="1:12" x14ac:dyDescent="0.3">
      <c r="A10" s="29">
        <f>ReLU!$I$155</f>
        <v>0</v>
      </c>
      <c r="C10">
        <v>0.26800903999999998</v>
      </c>
      <c r="D10">
        <v>-0.17379275</v>
      </c>
      <c r="E10">
        <v>-0.1632953</v>
      </c>
      <c r="F10">
        <v>-0.24638243000000001</v>
      </c>
      <c r="G10">
        <v>0.10704654500000001</v>
      </c>
      <c r="H10">
        <v>0.10682326</v>
      </c>
      <c r="I10">
        <v>-0.39622265000000001</v>
      </c>
      <c r="J10">
        <v>-0.22058152</v>
      </c>
      <c r="K10">
        <v>0.23825060000000001</v>
      </c>
      <c r="L10">
        <v>-5.4695500000000001E-3</v>
      </c>
    </row>
    <row r="11" spans="1:12" x14ac:dyDescent="0.3">
      <c r="A11" s="29">
        <f>ReLU!$J$155</f>
        <v>1.8370216774000001</v>
      </c>
      <c r="C11">
        <v>-9.0886439999999999E-2</v>
      </c>
      <c r="D11">
        <v>0.41237600000000002</v>
      </c>
      <c r="E11">
        <v>0.15789329999999999</v>
      </c>
      <c r="F11">
        <v>0.23291676</v>
      </c>
      <c r="G11">
        <v>-0.73315315999999997</v>
      </c>
      <c r="H11">
        <v>0.13803889</v>
      </c>
      <c r="I11">
        <v>-0.33919572999999997</v>
      </c>
      <c r="J11">
        <v>-0.56191800000000003</v>
      </c>
      <c r="K11">
        <v>1.4577736000000001E-2</v>
      </c>
      <c r="L11">
        <v>-0.25994574999999998</v>
      </c>
    </row>
    <row r="12" spans="1:12" x14ac:dyDescent="0.3">
      <c r="A12" s="29">
        <f>ReLU!$K$155</f>
        <v>0.95215282960000025</v>
      </c>
      <c r="C12">
        <v>0.17350245</v>
      </c>
      <c r="D12">
        <v>-0.24882899</v>
      </c>
      <c r="E12">
        <v>0.13751832</v>
      </c>
      <c r="F12">
        <v>3.4910653E-2</v>
      </c>
      <c r="G12">
        <v>-0.25599295</v>
      </c>
      <c r="H12">
        <v>-0.19908233</v>
      </c>
      <c r="I12">
        <v>8.2123779999999993E-2</v>
      </c>
      <c r="J12">
        <v>-4.9917075999999998E-2</v>
      </c>
      <c r="K12">
        <v>0.2911974</v>
      </c>
      <c r="L12">
        <v>-0.25985229999999998</v>
      </c>
    </row>
    <row r="13" spans="1:12" x14ac:dyDescent="0.3">
      <c r="A13" s="29">
        <f>ReLU!$L$155</f>
        <v>1.5039367900000031E-2</v>
      </c>
      <c r="C13">
        <v>-0.63077589999999994</v>
      </c>
      <c r="D13">
        <v>5.8695335000000001E-2</v>
      </c>
      <c r="E13">
        <v>-1.0489318000000001</v>
      </c>
      <c r="F13">
        <v>0.28506169999999997</v>
      </c>
      <c r="G13">
        <v>0.43313992000000001</v>
      </c>
      <c r="H13">
        <v>0.44018814000000001</v>
      </c>
      <c r="I13">
        <v>-0.14604566999999999</v>
      </c>
      <c r="J13">
        <v>-0.54961859999999996</v>
      </c>
      <c r="K13">
        <v>-0.37785488</v>
      </c>
      <c r="L13">
        <v>7.1888380000000002E-2</v>
      </c>
    </row>
    <row r="14" spans="1:12" x14ac:dyDescent="0.3">
      <c r="A14" s="29">
        <f>ReLU!$M$155</f>
        <v>0.18502899</v>
      </c>
      <c r="C14">
        <v>-0.25177985000000003</v>
      </c>
      <c r="D14">
        <v>-0.21036869999999999</v>
      </c>
      <c r="E14">
        <v>-0.96498669999999998</v>
      </c>
      <c r="F14">
        <v>1.4146328999999999E-2</v>
      </c>
      <c r="G14">
        <v>-0.82693410000000001</v>
      </c>
      <c r="H14">
        <v>0.76562969999999997</v>
      </c>
      <c r="I14">
        <v>-7.934857E-3</v>
      </c>
      <c r="J14">
        <v>-0.25505011999999999</v>
      </c>
      <c r="K14">
        <v>-0.82331209999999999</v>
      </c>
      <c r="L14">
        <v>-0.19015626999999999</v>
      </c>
    </row>
    <row r="15" spans="1:12" x14ac:dyDescent="0.3">
      <c r="A15" s="29">
        <f>ReLU!$N$155</f>
        <v>0</v>
      </c>
      <c r="C15">
        <v>-7.5752079999999999E-2</v>
      </c>
      <c r="D15">
        <v>0.38461699999999999</v>
      </c>
      <c r="E15">
        <v>-0.15346418000000001</v>
      </c>
      <c r="F15">
        <v>-0.16581269000000001</v>
      </c>
      <c r="G15">
        <v>-0.31990742999999999</v>
      </c>
      <c r="H15">
        <v>7.3898580000000005E-2</v>
      </c>
      <c r="I15">
        <v>0.16745674999999999</v>
      </c>
      <c r="J15">
        <v>-0.91800119999999996</v>
      </c>
      <c r="K15">
        <v>-0.19603509999999999</v>
      </c>
      <c r="L15">
        <v>-1.2782667000000001</v>
      </c>
    </row>
    <row r="16" spans="1:12" x14ac:dyDescent="0.3">
      <c r="A16" s="29">
        <f>ReLU!$O$155</f>
        <v>0.82135463629999994</v>
      </c>
      <c r="C16">
        <v>-0.52559524999999996</v>
      </c>
      <c r="D16">
        <v>-0.22671830000000001</v>
      </c>
      <c r="E16">
        <v>-0.28188025999999999</v>
      </c>
      <c r="F16">
        <v>0.50300676</v>
      </c>
      <c r="G16">
        <v>-4.7547735000000001E-2</v>
      </c>
      <c r="H16">
        <v>-0.53423889999999996</v>
      </c>
      <c r="I16">
        <v>-0.75121709999999997</v>
      </c>
      <c r="J16">
        <v>0.19950709999999999</v>
      </c>
      <c r="K16">
        <v>-0.29008572999999999</v>
      </c>
      <c r="L16">
        <v>-3.6661815E-2</v>
      </c>
    </row>
    <row r="17" spans="1:12" x14ac:dyDescent="0.3">
      <c r="A17" s="29">
        <f>ReLU!$P$155</f>
        <v>0</v>
      </c>
      <c r="C17">
        <v>-8.2083729999999994E-2</v>
      </c>
      <c r="D17">
        <v>-0.51372580000000001</v>
      </c>
      <c r="E17">
        <v>-1.5111295E-2</v>
      </c>
      <c r="F17">
        <v>-0.27041887999999997</v>
      </c>
      <c r="G17">
        <v>5.0538350000000003E-2</v>
      </c>
      <c r="H17">
        <v>-2.7585124999999999E-2</v>
      </c>
      <c r="I17">
        <v>-0.75604309999999997</v>
      </c>
      <c r="J17">
        <v>0.31984960000000001</v>
      </c>
      <c r="K17">
        <v>-0.35348057999999999</v>
      </c>
      <c r="L17">
        <v>0.21635330999999999</v>
      </c>
    </row>
    <row r="18" spans="1:12" x14ac:dyDescent="0.3">
      <c r="A18" s="29">
        <f>ReLU!$Q$155</f>
        <v>0.29227602700000005</v>
      </c>
      <c r="C18">
        <v>-0.35986974999999999</v>
      </c>
      <c r="D18">
        <v>-2.9744077000000001E-2</v>
      </c>
      <c r="E18">
        <v>0.25504070000000001</v>
      </c>
      <c r="F18">
        <v>0.21416341</v>
      </c>
      <c r="G18">
        <v>-0.37984180000000001</v>
      </c>
      <c r="H18">
        <v>-0.23953960999999999</v>
      </c>
      <c r="I18">
        <v>-5.2281506000000002E-3</v>
      </c>
      <c r="J18">
        <v>0.57433069999999997</v>
      </c>
      <c r="K18">
        <v>-0.13872634</v>
      </c>
      <c r="L18">
        <v>-0.89180285000000004</v>
      </c>
    </row>
    <row r="19" spans="1:12" x14ac:dyDescent="0.3">
      <c r="A19">
        <f>ReLU!$R$155</f>
        <v>0.48823120199999998</v>
      </c>
      <c r="C19">
        <v>0.11058761</v>
      </c>
      <c r="D19">
        <v>-0.19096220999999999</v>
      </c>
      <c r="E19">
        <v>2.8505737E-2</v>
      </c>
      <c r="F19">
        <v>5.6593379999999999E-2</v>
      </c>
      <c r="G19">
        <v>-0.35607739999999999</v>
      </c>
      <c r="H19">
        <v>-0.30224024999999999</v>
      </c>
      <c r="I19">
        <v>0.19135004</v>
      </c>
      <c r="J19">
        <v>-0.13096612999999999</v>
      </c>
      <c r="K19">
        <v>0.20485951999999999</v>
      </c>
      <c r="L19">
        <v>0.13798678</v>
      </c>
    </row>
    <row r="20" spans="1:12" x14ac:dyDescent="0.3">
      <c r="A20">
        <f>ReLU!$S$155</f>
        <v>0</v>
      </c>
      <c r="C20">
        <v>-0.38553979999999999</v>
      </c>
      <c r="D20">
        <v>-0.52777076000000001</v>
      </c>
      <c r="E20">
        <v>4.9402133000000001E-2</v>
      </c>
      <c r="F20">
        <v>0.23573854999999999</v>
      </c>
      <c r="G20">
        <v>5.3246139999999997E-2</v>
      </c>
      <c r="H20">
        <v>4.4740092000000002E-2</v>
      </c>
      <c r="I20">
        <v>-0.7176998</v>
      </c>
      <c r="J20">
        <v>3.2132800000000003E-2</v>
      </c>
      <c r="K20">
        <v>4.1550796000000001E-2</v>
      </c>
      <c r="L20">
        <v>0.27432263000000001</v>
      </c>
    </row>
    <row r="21" spans="1:12" x14ac:dyDescent="0.3">
      <c r="A21">
        <f>ReLU!$T$155</f>
        <v>0.4551660420000001</v>
      </c>
      <c r="C21">
        <v>-0.20721944</v>
      </c>
      <c r="D21">
        <v>0.40930745000000002</v>
      </c>
      <c r="E21">
        <v>-0.52285510000000002</v>
      </c>
      <c r="F21">
        <v>0.15070828999999999</v>
      </c>
      <c r="G21">
        <v>-0.74315330000000002</v>
      </c>
      <c r="H21">
        <v>0.34793204</v>
      </c>
      <c r="I21">
        <v>0.11036461</v>
      </c>
      <c r="J21">
        <v>-0.35363003999999998</v>
      </c>
      <c r="K21">
        <v>0.11003546</v>
      </c>
      <c r="L21">
        <v>8.0739930000000001E-2</v>
      </c>
    </row>
    <row r="22" spans="1:12" x14ac:dyDescent="0.3">
      <c r="A22">
        <f>ReLU!$U$155</f>
        <v>0</v>
      </c>
      <c r="C22">
        <v>-0.19651872000000001</v>
      </c>
      <c r="D22">
        <v>0.6090527</v>
      </c>
      <c r="E22">
        <v>-0.67914319999999995</v>
      </c>
      <c r="F22">
        <v>-0.33671459999999998</v>
      </c>
      <c r="G22">
        <v>-0.11430882000000001</v>
      </c>
      <c r="H22">
        <v>0.4639336</v>
      </c>
      <c r="I22">
        <v>0.40485622999999998</v>
      </c>
      <c r="J22">
        <v>-0.17954365999999999</v>
      </c>
      <c r="K22">
        <v>-0.15429397</v>
      </c>
      <c r="L22">
        <v>-0.35187370000000001</v>
      </c>
    </row>
    <row r="23" spans="1:12" x14ac:dyDescent="0.3">
      <c r="A23">
        <f>ReLU!$V$155</f>
        <v>0</v>
      </c>
      <c r="C23">
        <v>-0.28311386999999999</v>
      </c>
      <c r="D23">
        <v>-0.68557729999999995</v>
      </c>
      <c r="E23">
        <v>-0.60238683000000004</v>
      </c>
      <c r="F23">
        <v>9.8556630000000006E-2</v>
      </c>
      <c r="G23">
        <v>-2.1819107000000001E-2</v>
      </c>
      <c r="H23">
        <v>0.10151393</v>
      </c>
      <c r="I23">
        <v>-9.4738679999999999E-3</v>
      </c>
      <c r="J23">
        <v>-2.8411854E-2</v>
      </c>
      <c r="K23">
        <v>0.26127339999999999</v>
      </c>
      <c r="L23">
        <v>-0.19610480999999999</v>
      </c>
    </row>
    <row r="24" spans="1:12" x14ac:dyDescent="0.3">
      <c r="A24">
        <f>ReLU!$W$155</f>
        <v>0.93677130400000008</v>
      </c>
      <c r="C24">
        <v>0.15469421</v>
      </c>
      <c r="D24">
        <v>-0.31725004000000001</v>
      </c>
      <c r="E24">
        <v>0.15580627</v>
      </c>
      <c r="F24">
        <v>0.22544861999999999</v>
      </c>
      <c r="G24">
        <v>-1.0878909000000001</v>
      </c>
      <c r="H24">
        <v>0.13357881999999999</v>
      </c>
      <c r="I24">
        <v>-0.32415143000000002</v>
      </c>
      <c r="J24">
        <v>0.28203896000000001</v>
      </c>
      <c r="K24">
        <v>-7.6104275999999998E-2</v>
      </c>
      <c r="L24">
        <v>-0.46707670000000001</v>
      </c>
    </row>
    <row r="25" spans="1:12" x14ac:dyDescent="0.3">
      <c r="A25">
        <f>ReLU!$X$155</f>
        <v>0.53466667800000001</v>
      </c>
      <c r="C25">
        <v>-9.8619886000000004E-2</v>
      </c>
      <c r="D25">
        <v>-0.49123361999999998</v>
      </c>
      <c r="E25">
        <v>-0.1376144</v>
      </c>
      <c r="F25">
        <v>-0.22100661999999999</v>
      </c>
      <c r="G25">
        <v>0.1269238</v>
      </c>
      <c r="H25">
        <v>-4.4308899999999998E-2</v>
      </c>
      <c r="I25">
        <v>-3.0232187000000001E-2</v>
      </c>
      <c r="J25">
        <v>0.13030005</v>
      </c>
      <c r="K25">
        <v>0.15743461</v>
      </c>
      <c r="L25">
        <v>0.22693436</v>
      </c>
    </row>
    <row r="26" spans="1:12" x14ac:dyDescent="0.3">
      <c r="A26">
        <f>ReLU!$Y$155</f>
        <v>0</v>
      </c>
      <c r="C26">
        <v>-0.18044887000000001</v>
      </c>
      <c r="D26">
        <v>0.70116889999999998</v>
      </c>
      <c r="E26">
        <v>0.13314253000000001</v>
      </c>
      <c r="F26">
        <v>-0.59359799999999996</v>
      </c>
      <c r="G26">
        <v>0.56467590000000001</v>
      </c>
      <c r="H26">
        <v>-8.7275500000000006E-2</v>
      </c>
      <c r="I26">
        <v>-0.26531142000000002</v>
      </c>
      <c r="J26">
        <v>0.11929252</v>
      </c>
      <c r="K26">
        <v>-0.77966789999999997</v>
      </c>
      <c r="L26">
        <v>-2.2591466000000001E-2</v>
      </c>
    </row>
    <row r="27" spans="1:12" x14ac:dyDescent="0.3">
      <c r="A27">
        <f>ReLU!$Z$155</f>
        <v>0</v>
      </c>
      <c r="C27">
        <v>0.18286036</v>
      </c>
      <c r="D27">
        <v>-1.2283808E-2</v>
      </c>
      <c r="E27">
        <v>1.6863901000000001E-2</v>
      </c>
      <c r="F27">
        <v>0.12866598000000001</v>
      </c>
      <c r="G27">
        <v>-0.49600494000000001</v>
      </c>
      <c r="H27">
        <v>-0.15096101000000001</v>
      </c>
      <c r="I27">
        <v>-0.48774995999999998</v>
      </c>
      <c r="J27">
        <v>-0.26377279999999997</v>
      </c>
      <c r="K27">
        <v>4.3039969999999997E-2</v>
      </c>
      <c r="L27">
        <v>0.36489074999999999</v>
      </c>
    </row>
    <row r="28" spans="1:12" x14ac:dyDescent="0.3">
      <c r="A28">
        <f>ReLU!$AA$155</f>
        <v>1.4000818559999999</v>
      </c>
      <c r="C28">
        <v>-0.24392974000000001</v>
      </c>
      <c r="D28">
        <v>4.9516489999999998E-3</v>
      </c>
      <c r="E28">
        <v>5.6325592000000001E-2</v>
      </c>
      <c r="F28">
        <v>0.29264932999999999</v>
      </c>
      <c r="G28">
        <v>-0.82592445999999997</v>
      </c>
      <c r="H28">
        <v>0.30894517999999999</v>
      </c>
      <c r="I28">
        <v>-0.52740204000000002</v>
      </c>
      <c r="J28">
        <v>4.127449E-3</v>
      </c>
      <c r="K28">
        <v>4.108771E-2</v>
      </c>
      <c r="L28">
        <v>0.15226714</v>
      </c>
    </row>
    <row r="29" spans="1:12" x14ac:dyDescent="0.3">
      <c r="A29">
        <f>ReLU!$AB$155</f>
        <v>1.2671958185000001</v>
      </c>
      <c r="C29">
        <v>-0.24889333999999999</v>
      </c>
      <c r="D29">
        <v>-0.18397564</v>
      </c>
      <c r="E29">
        <v>0.16029325</v>
      </c>
      <c r="F29">
        <v>0.14988646</v>
      </c>
      <c r="G29">
        <v>0.28020107999999999</v>
      </c>
      <c r="H29">
        <v>-0.17290498000000001</v>
      </c>
      <c r="I29">
        <v>0.14233017000000001</v>
      </c>
      <c r="J29">
        <v>9.3835029999999996E-3</v>
      </c>
      <c r="K29">
        <v>0.24578667000000001</v>
      </c>
      <c r="L29">
        <v>1.4376942E-2</v>
      </c>
    </row>
    <row r="30" spans="1:12" x14ac:dyDescent="0.3">
      <c r="A30">
        <f>ReLU!$AC$155</f>
        <v>0</v>
      </c>
      <c r="C30">
        <v>0.18461610000000001</v>
      </c>
      <c r="D30">
        <v>-0.2294243</v>
      </c>
      <c r="E30">
        <v>9.1423900000000002E-2</v>
      </c>
      <c r="F30">
        <v>-0.13992672</v>
      </c>
      <c r="G30">
        <v>-0.53543025</v>
      </c>
      <c r="H30">
        <v>0.10312306</v>
      </c>
      <c r="I30">
        <v>0.13438530000000001</v>
      </c>
      <c r="J30">
        <v>-3.6004223000000002E-2</v>
      </c>
      <c r="K30">
        <v>-0.29310012000000002</v>
      </c>
      <c r="L30">
        <v>-0.6998548</v>
      </c>
    </row>
    <row r="31" spans="1:12" x14ac:dyDescent="0.3">
      <c r="A31">
        <f>ReLU!$AD$155</f>
        <v>1.0244238630000002</v>
      </c>
      <c r="C31">
        <v>-0.83364916</v>
      </c>
      <c r="D31">
        <v>0.11032628</v>
      </c>
      <c r="E31">
        <v>0.29217937999999999</v>
      </c>
      <c r="F31">
        <v>4.0060405E-2</v>
      </c>
      <c r="G31">
        <v>-0.75885062999999997</v>
      </c>
      <c r="H31">
        <v>4.9515884000000003E-2</v>
      </c>
      <c r="I31">
        <v>-7.245567E-2</v>
      </c>
      <c r="J31">
        <v>0.51552319999999996</v>
      </c>
      <c r="K31">
        <v>-7.4334999999999998E-2</v>
      </c>
      <c r="L31">
        <v>-0.74466810000000005</v>
      </c>
    </row>
    <row r="32" spans="1:12" x14ac:dyDescent="0.3">
      <c r="A32">
        <f>ReLU!$AE$155</f>
        <v>0.76992750449999992</v>
      </c>
      <c r="C32">
        <v>0.18956028</v>
      </c>
      <c r="D32">
        <v>-0.32902009999999998</v>
      </c>
      <c r="E32">
        <v>0.23251738999999999</v>
      </c>
      <c r="F32">
        <v>-0.15175696</v>
      </c>
      <c r="G32">
        <v>0.15733296999999999</v>
      </c>
      <c r="H32">
        <v>8.4745169999999995E-2</v>
      </c>
      <c r="I32">
        <v>-0.38087033999999997</v>
      </c>
      <c r="J32">
        <v>-0.12863684</v>
      </c>
      <c r="K32">
        <v>0.23782933000000001</v>
      </c>
      <c r="L32">
        <v>-0.6246564</v>
      </c>
    </row>
    <row r="33" spans="1:12" x14ac:dyDescent="0.3">
      <c r="A33">
        <f>ReLU!$AF$155</f>
        <v>0</v>
      </c>
      <c r="C33">
        <v>0.28294086000000002</v>
      </c>
      <c r="D33">
        <v>0.24933146</v>
      </c>
      <c r="E33">
        <v>-0.41620293000000003</v>
      </c>
      <c r="F33">
        <v>-0.33019870000000001</v>
      </c>
      <c r="G33">
        <v>-0.26539912999999998</v>
      </c>
      <c r="H33">
        <v>-0.67009090000000004</v>
      </c>
      <c r="I33">
        <v>4.0382939999999999E-2</v>
      </c>
      <c r="J33">
        <v>-0.16003023</v>
      </c>
      <c r="K33">
        <v>-0.1562965</v>
      </c>
      <c r="L33">
        <v>0.4239985</v>
      </c>
    </row>
    <row r="34" spans="1:12" x14ac:dyDescent="0.3">
      <c r="A34">
        <f>ReLU!$AG$155</f>
        <v>0</v>
      </c>
      <c r="C34">
        <v>0.11767718000000001</v>
      </c>
      <c r="D34">
        <v>-0.67994385999999996</v>
      </c>
      <c r="E34">
        <v>0.16311245999999999</v>
      </c>
      <c r="F34">
        <v>-0.46494222000000002</v>
      </c>
      <c r="G34">
        <v>0.20828715</v>
      </c>
      <c r="H34">
        <v>-0.24317917</v>
      </c>
      <c r="I34">
        <v>-2.3931975000000001E-2</v>
      </c>
      <c r="J34">
        <v>0.42197669999999998</v>
      </c>
      <c r="K34">
        <v>-0.51640439999999999</v>
      </c>
      <c r="L34">
        <v>-0.33145606999999999</v>
      </c>
    </row>
    <row r="35" spans="1:12" x14ac:dyDescent="0.3">
      <c r="A35">
        <f>ReLU!$AH$155</f>
        <v>0</v>
      </c>
      <c r="C35">
        <v>-0.46778828</v>
      </c>
      <c r="D35">
        <v>0.10188912999999999</v>
      </c>
      <c r="E35">
        <v>0.21083641</v>
      </c>
      <c r="F35">
        <v>-0.14566345999999999</v>
      </c>
      <c r="G35">
        <v>-0.28724822</v>
      </c>
      <c r="H35">
        <v>0.20336966000000001</v>
      </c>
      <c r="I35">
        <v>5.6748399999999997E-2</v>
      </c>
      <c r="J35">
        <v>-0.82743895000000001</v>
      </c>
      <c r="K35">
        <v>-0.14234140000000001</v>
      </c>
      <c r="L35">
        <v>7.1086355000000004E-2</v>
      </c>
    </row>
    <row r="36" spans="1:12" x14ac:dyDescent="0.3">
      <c r="A36">
        <f>ReLU!$AI$155</f>
        <v>1.0977771284999998</v>
      </c>
      <c r="C36">
        <v>0.12676144</v>
      </c>
      <c r="D36">
        <v>0.114271075</v>
      </c>
      <c r="E36">
        <v>4.3681886000000003E-2</v>
      </c>
      <c r="F36">
        <v>7.8836010000000005E-3</v>
      </c>
      <c r="G36">
        <v>3.6161440000000003E-2</v>
      </c>
      <c r="H36">
        <v>-0.21851902000000001</v>
      </c>
      <c r="I36">
        <v>-0.58236206000000001</v>
      </c>
      <c r="J36">
        <v>0.14789160000000001</v>
      </c>
      <c r="K36">
        <v>0.22487341999999999</v>
      </c>
      <c r="L36">
        <v>0.17500903000000001</v>
      </c>
    </row>
    <row r="37" spans="1:12" x14ac:dyDescent="0.3">
      <c r="A37">
        <f>ReLU!$AJ$155</f>
        <v>0.77640050559999996</v>
      </c>
      <c r="C37">
        <v>-0.62708914000000004</v>
      </c>
      <c r="D37">
        <v>-0.10645751000000001</v>
      </c>
      <c r="E37">
        <v>-0.91583603999999996</v>
      </c>
      <c r="F37">
        <v>0.33854573999999998</v>
      </c>
      <c r="G37">
        <v>3.1168662E-2</v>
      </c>
      <c r="H37">
        <v>0.13085963</v>
      </c>
      <c r="I37">
        <v>-0.90304669999999998</v>
      </c>
      <c r="J37">
        <v>-0.33973235000000002</v>
      </c>
      <c r="K37">
        <v>5.0348230000000001E-2</v>
      </c>
      <c r="L37">
        <v>0.30275896000000002</v>
      </c>
    </row>
    <row r="38" spans="1:12" x14ac:dyDescent="0.3">
      <c r="A38">
        <f>ReLU!$AK$155</f>
        <v>0</v>
      </c>
      <c r="C38">
        <v>0.38284554999999998</v>
      </c>
      <c r="D38">
        <v>-0.41448942</v>
      </c>
      <c r="E38">
        <v>4.4947415999999997E-2</v>
      </c>
      <c r="F38">
        <v>-0.15288003999999999</v>
      </c>
      <c r="G38">
        <v>0.105614</v>
      </c>
      <c r="H38">
        <v>-0.27072049999999998</v>
      </c>
      <c r="I38">
        <v>0.14679418999999999</v>
      </c>
      <c r="J38">
        <v>-0.22634778999999999</v>
      </c>
      <c r="K38">
        <v>-0.55885510000000005</v>
      </c>
      <c r="L38">
        <v>6.1401114E-2</v>
      </c>
    </row>
    <row r="39" spans="1:12" x14ac:dyDescent="0.3">
      <c r="A39">
        <f>ReLU!$AL$155</f>
        <v>0.47796471859999995</v>
      </c>
      <c r="C39">
        <v>-0.11168299</v>
      </c>
      <c r="D39">
        <v>-0.66254170000000001</v>
      </c>
      <c r="E39">
        <v>5.0725449999999998E-2</v>
      </c>
      <c r="F39">
        <v>-0.15839756999999999</v>
      </c>
      <c r="G39">
        <v>-0.24734250999999999</v>
      </c>
      <c r="H39">
        <v>-1.0419533999999999</v>
      </c>
      <c r="I39">
        <v>0.23897085000000001</v>
      </c>
      <c r="J39">
        <v>0.28084504999999998</v>
      </c>
      <c r="K39">
        <v>6.7133314999999999E-2</v>
      </c>
      <c r="L39">
        <v>-0.29265052000000003</v>
      </c>
    </row>
    <row r="40" spans="1:12" x14ac:dyDescent="0.3">
      <c r="A40">
        <f>ReLU!$AM$155</f>
        <v>0.32231950779999985</v>
      </c>
      <c r="C40">
        <v>0.27842650000000002</v>
      </c>
      <c r="D40">
        <v>-0.92154473000000003</v>
      </c>
      <c r="E40">
        <v>-8.9037759999999994E-2</v>
      </c>
      <c r="F40">
        <v>-0.27888375999999998</v>
      </c>
      <c r="G40">
        <v>-0.44468101999999998</v>
      </c>
      <c r="H40">
        <v>0.27670850000000002</v>
      </c>
      <c r="I40">
        <v>-5.1949660000000002E-2</v>
      </c>
      <c r="J40">
        <v>-9.0210200000000004E-2</v>
      </c>
      <c r="K40">
        <v>0.15462057000000001</v>
      </c>
      <c r="L40">
        <v>0.46928224000000002</v>
      </c>
    </row>
    <row r="41" spans="1:12" x14ac:dyDescent="0.3">
      <c r="A41">
        <f>ReLU!$AN$155</f>
        <v>6.7041717999999972E-2</v>
      </c>
      <c r="C41">
        <v>0.101337306</v>
      </c>
      <c r="D41">
        <v>-0.22083180999999999</v>
      </c>
      <c r="E41">
        <v>-0.11773552</v>
      </c>
      <c r="F41">
        <v>0.19290441</v>
      </c>
      <c r="G41">
        <v>0.22423731999999999</v>
      </c>
      <c r="H41">
        <v>-0.122119665</v>
      </c>
      <c r="I41">
        <v>-1.6737700000000001E-2</v>
      </c>
      <c r="J41">
        <v>0.27138075</v>
      </c>
      <c r="K41">
        <v>0.1323135</v>
      </c>
      <c r="L41">
        <v>0.17446697</v>
      </c>
    </row>
    <row r="42" spans="1:12" x14ac:dyDescent="0.3">
      <c r="A42">
        <f>ReLU!$AO$155</f>
        <v>0</v>
      </c>
      <c r="C42">
        <v>-0.72963579999999995</v>
      </c>
      <c r="D42">
        <v>-0.70932185999999997</v>
      </c>
      <c r="E42">
        <v>-0.20276638999999999</v>
      </c>
      <c r="F42">
        <v>0.41767286999999997</v>
      </c>
      <c r="G42">
        <v>0.3167972</v>
      </c>
      <c r="H42">
        <v>0.17390215000000001</v>
      </c>
      <c r="I42">
        <v>-0.49561206000000002</v>
      </c>
      <c r="J42">
        <v>0.1192498</v>
      </c>
      <c r="K42">
        <v>2.9497022000000001E-2</v>
      </c>
      <c r="L42">
        <v>0.18593815999999999</v>
      </c>
    </row>
    <row r="43" spans="1:12" x14ac:dyDescent="0.3">
      <c r="A43">
        <f>ReLU!$AP$155</f>
        <v>0</v>
      </c>
      <c r="C43">
        <v>-0.69928073999999996</v>
      </c>
      <c r="D43">
        <v>-0.42901966000000002</v>
      </c>
      <c r="E43">
        <v>-0.60062219999999999</v>
      </c>
      <c r="F43">
        <v>0.23398406999999999</v>
      </c>
      <c r="G43">
        <v>-0.82548714000000001</v>
      </c>
      <c r="H43">
        <v>0.80826794999999996</v>
      </c>
      <c r="I43">
        <v>8.320893E-2</v>
      </c>
      <c r="J43">
        <v>0.12409563999999999</v>
      </c>
      <c r="K43">
        <v>-2.7875237000000001E-2</v>
      </c>
      <c r="L43">
        <v>-0.12119952000000001</v>
      </c>
    </row>
    <row r="44" spans="1:12" x14ac:dyDescent="0.3">
      <c r="A44">
        <f>ReLU!$AQ$155</f>
        <v>4.4382023999999909E-2</v>
      </c>
      <c r="C44">
        <v>0.28580195000000003</v>
      </c>
      <c r="D44">
        <v>0.12994312999999999</v>
      </c>
      <c r="E44">
        <v>-5.0291136E-2</v>
      </c>
      <c r="F44">
        <v>-0.16770966000000001</v>
      </c>
      <c r="G44">
        <v>-0.77101313999999999</v>
      </c>
      <c r="H44">
        <v>0.14590222</v>
      </c>
      <c r="I44">
        <v>0.27116763999999999</v>
      </c>
      <c r="J44">
        <v>-2.3723284000000001E-2</v>
      </c>
      <c r="K44">
        <v>4.0053850000000002E-2</v>
      </c>
      <c r="L44">
        <v>-0.40043764999999998</v>
      </c>
    </row>
    <row r="45" spans="1:12" x14ac:dyDescent="0.3">
      <c r="A45">
        <f>ReLU!$AR$155</f>
        <v>7.836938849999997E-2</v>
      </c>
      <c r="C45">
        <v>-0.26657254000000002</v>
      </c>
      <c r="D45">
        <v>-0.89409596000000002</v>
      </c>
      <c r="E45">
        <v>-0.22934766000000001</v>
      </c>
      <c r="F45">
        <v>-0.24219134</v>
      </c>
      <c r="G45">
        <v>-6.2016636E-2</v>
      </c>
      <c r="H45">
        <v>0.40332245999999999</v>
      </c>
      <c r="I45">
        <v>-0.67559343999999999</v>
      </c>
      <c r="J45">
        <v>0.23052174</v>
      </c>
      <c r="K45">
        <v>0.50949670000000002</v>
      </c>
      <c r="L45">
        <v>-2.9334465000000001E-2</v>
      </c>
    </row>
    <row r="46" spans="1:12" x14ac:dyDescent="0.3">
      <c r="A46">
        <f>ReLU!$AS$155</f>
        <v>2.0112828440999997</v>
      </c>
      <c r="C46">
        <v>-7.5263730000000001E-2</v>
      </c>
      <c r="D46">
        <v>0.16747417000000001</v>
      </c>
      <c r="E46">
        <v>-3.8048387000000003E-2</v>
      </c>
      <c r="F46">
        <v>-7.1527309999999997E-2</v>
      </c>
      <c r="G46">
        <v>0.16156155</v>
      </c>
      <c r="H46">
        <v>9.4691140000000007E-3</v>
      </c>
      <c r="I46">
        <v>-2.1165654000000001E-3</v>
      </c>
      <c r="J46">
        <v>-0.51288400000000001</v>
      </c>
      <c r="K46">
        <v>0.13172962999999999</v>
      </c>
      <c r="L46">
        <v>-0.58515360000000005</v>
      </c>
    </row>
    <row r="47" spans="1:12" x14ac:dyDescent="0.3">
      <c r="A47">
        <f>ReLU!$AT$155</f>
        <v>0</v>
      </c>
      <c r="C47">
        <v>4.1533563000000003E-2</v>
      </c>
      <c r="D47">
        <v>0.58479720000000002</v>
      </c>
      <c r="E47">
        <v>-1.0387945999999999</v>
      </c>
      <c r="F47">
        <v>-0.5261053</v>
      </c>
      <c r="G47">
        <v>-0.12519848</v>
      </c>
      <c r="H47">
        <v>0.36304069999999999</v>
      </c>
      <c r="I47">
        <v>0.34629645999999997</v>
      </c>
      <c r="J47">
        <v>-0.42585410000000001</v>
      </c>
      <c r="K47">
        <v>-0.19228426000000001</v>
      </c>
      <c r="L47">
        <v>3.4145527000000002E-2</v>
      </c>
    </row>
    <row r="48" spans="1:12" x14ac:dyDescent="0.3">
      <c r="A48">
        <f>ReLU!$AU$155</f>
        <v>4.9646136000000195E-2</v>
      </c>
      <c r="C48">
        <v>0.59239744999999999</v>
      </c>
      <c r="D48">
        <v>-0.96005309999999999</v>
      </c>
      <c r="E48">
        <v>-0.17875160000000001</v>
      </c>
      <c r="F48">
        <v>0.39606627999999999</v>
      </c>
      <c r="G48">
        <v>-0.66267670000000001</v>
      </c>
      <c r="H48">
        <v>1.0498333999999999E-3</v>
      </c>
      <c r="I48">
        <v>0.1889951</v>
      </c>
      <c r="J48">
        <v>-0.4419033</v>
      </c>
      <c r="K48">
        <v>-0.19741381999999999</v>
      </c>
      <c r="L48">
        <v>-0.32398945000000001</v>
      </c>
    </row>
    <row r="49" spans="1:12" x14ac:dyDescent="0.3">
      <c r="A49">
        <f>ReLU!$AV$155</f>
        <v>0</v>
      </c>
      <c r="C49">
        <v>-0.15989334999999999</v>
      </c>
      <c r="D49">
        <v>0.32935829999999999</v>
      </c>
      <c r="E49">
        <v>-1.1779177000000001</v>
      </c>
      <c r="F49">
        <v>-0.92193250000000004</v>
      </c>
      <c r="G49">
        <v>9.8198999999999995E-2</v>
      </c>
      <c r="H49">
        <v>0.13643027999999999</v>
      </c>
      <c r="I49">
        <v>-0.57445970000000002</v>
      </c>
      <c r="J49">
        <v>0.28146640000000001</v>
      </c>
      <c r="K49">
        <v>-0.69721639999999996</v>
      </c>
      <c r="L49">
        <v>0.21855142999999999</v>
      </c>
    </row>
    <row r="50" spans="1:12" x14ac:dyDescent="0.3">
      <c r="A50">
        <f>ReLU!$AW$155</f>
        <v>0.67162642400000006</v>
      </c>
      <c r="C50">
        <v>-0.46301228</v>
      </c>
      <c r="D50">
        <v>-0.14120789</v>
      </c>
      <c r="E50">
        <v>0.32619389999999998</v>
      </c>
      <c r="F50">
        <v>-0.44464325999999998</v>
      </c>
      <c r="G50">
        <v>3.6902705E-3</v>
      </c>
      <c r="H50">
        <v>0.50289620000000002</v>
      </c>
      <c r="I50">
        <v>-0.75638039999999995</v>
      </c>
      <c r="J50">
        <v>0.40896586000000001</v>
      </c>
      <c r="K50">
        <v>-0.55397929999999995</v>
      </c>
      <c r="L50">
        <v>-6.8150660000000002E-2</v>
      </c>
    </row>
    <row r="51" spans="1:12" x14ac:dyDescent="0.3">
      <c r="A51">
        <f>ReLU!$AX$155</f>
        <v>0.69117079999999997</v>
      </c>
      <c r="C51">
        <v>0.29729232</v>
      </c>
      <c r="D51">
        <v>0.26024276000000002</v>
      </c>
      <c r="E51">
        <v>0.13563114000000001</v>
      </c>
      <c r="F51">
        <v>-0.26589394</v>
      </c>
      <c r="G51">
        <v>-0.43402385999999998</v>
      </c>
      <c r="H51">
        <v>0.13433982</v>
      </c>
      <c r="I51">
        <v>8.9585416000000001E-2</v>
      </c>
      <c r="J51">
        <v>-0.29860467000000002</v>
      </c>
      <c r="K51">
        <v>-1.867218E-2</v>
      </c>
      <c r="L51">
        <v>-0.77569399999999999</v>
      </c>
    </row>
    <row r="52" spans="1:12" x14ac:dyDescent="0.3">
      <c r="A52">
        <f>ReLU!$AY$155</f>
        <v>0.51588179820000013</v>
      </c>
      <c r="C52">
        <v>-7.1416855000000001E-2</v>
      </c>
      <c r="D52">
        <v>0.18219408000000001</v>
      </c>
      <c r="E52">
        <v>3.5242955999999999E-2</v>
      </c>
      <c r="F52">
        <v>-0.25377090000000002</v>
      </c>
      <c r="G52">
        <v>-0.1665344</v>
      </c>
      <c r="H52">
        <v>-0.30335440000000002</v>
      </c>
      <c r="I52">
        <v>-0.13597429999999999</v>
      </c>
      <c r="J52">
        <v>-0.5111388</v>
      </c>
      <c r="K52">
        <v>9.1823584999999999E-2</v>
      </c>
      <c r="L52">
        <v>-3.3370174000000002E-2</v>
      </c>
    </row>
    <row r="53" spans="1:12" x14ac:dyDescent="0.3">
      <c r="A53">
        <f>ReLU!$AZ$155</f>
        <v>0</v>
      </c>
      <c r="C53">
        <v>0.1423768</v>
      </c>
      <c r="D53">
        <v>-0.57749399999999995</v>
      </c>
      <c r="E53">
        <v>5.9502884999999998E-2</v>
      </c>
      <c r="F53">
        <v>-6.7669579999999993E-2</v>
      </c>
      <c r="G53">
        <v>-0.11782339999999999</v>
      </c>
      <c r="H53">
        <v>-0.37783587000000002</v>
      </c>
      <c r="I53">
        <v>-0.13445199999999999</v>
      </c>
      <c r="J53">
        <v>0.15406956999999999</v>
      </c>
      <c r="K53">
        <v>-0.29237118000000001</v>
      </c>
      <c r="L53">
        <v>0.28606206000000001</v>
      </c>
    </row>
    <row r="54" spans="1:12" x14ac:dyDescent="0.3">
      <c r="A54" s="29">
        <f>ReLU!$BA$155</f>
        <v>0.80676702900000008</v>
      </c>
      <c r="C54">
        <v>-0.22203422</v>
      </c>
      <c r="D54">
        <v>0.34464805999999998</v>
      </c>
      <c r="E54">
        <v>0.40838384999999999</v>
      </c>
      <c r="F54">
        <v>-0.29872083999999999</v>
      </c>
      <c r="G54">
        <v>0.18183652</v>
      </c>
      <c r="H54">
        <v>-0.27490523</v>
      </c>
      <c r="I54">
        <v>-3.5061922000000002E-2</v>
      </c>
      <c r="J54">
        <v>-0.26776837999999997</v>
      </c>
      <c r="K54">
        <v>0.20922966000000001</v>
      </c>
      <c r="L54">
        <v>-0.7497549</v>
      </c>
    </row>
    <row r="55" spans="1:12" x14ac:dyDescent="0.3">
      <c r="A55" s="29">
        <f>ReLU!$BB$155</f>
        <v>0</v>
      </c>
      <c r="C55">
        <v>-4.4194153999999999E-2</v>
      </c>
      <c r="D55">
        <v>-0.80956054</v>
      </c>
      <c r="E55">
        <v>-0.56947239999999999</v>
      </c>
      <c r="F55">
        <v>0.12086669999999999</v>
      </c>
      <c r="G55">
        <v>-1.0125078000000001</v>
      </c>
      <c r="H55">
        <v>0.70285439999999999</v>
      </c>
      <c r="I55">
        <v>-0.30706109999999998</v>
      </c>
      <c r="J55">
        <v>0.26657515999999998</v>
      </c>
      <c r="K55">
        <v>-0.12957220999999999</v>
      </c>
      <c r="L55">
        <v>0.19201462</v>
      </c>
    </row>
    <row r="56" spans="1:12" x14ac:dyDescent="0.3">
      <c r="A56" s="29">
        <f>ReLU!$BC$155</f>
        <v>0</v>
      </c>
      <c r="C56">
        <v>0.34150395</v>
      </c>
      <c r="D56">
        <v>-0.55357040000000002</v>
      </c>
      <c r="E56">
        <v>6.1932024000000002E-2</v>
      </c>
      <c r="F56">
        <v>6.1726179999999999E-2</v>
      </c>
      <c r="G56">
        <v>-0.31672709999999998</v>
      </c>
      <c r="H56">
        <v>-0.12938</v>
      </c>
      <c r="I56">
        <v>6.8544320000000006E-2</v>
      </c>
      <c r="J56">
        <v>-0.51324990000000004</v>
      </c>
      <c r="K56">
        <v>-9.346554E-3</v>
      </c>
      <c r="L56">
        <v>-0.17025307000000001</v>
      </c>
    </row>
    <row r="57" spans="1:12" x14ac:dyDescent="0.3">
      <c r="A57" s="29">
        <f>ReLU!$BD$155</f>
        <v>8.1312146000000057E-2</v>
      </c>
      <c r="C57">
        <v>0.31178862000000002</v>
      </c>
      <c r="D57">
        <v>-0.2852769</v>
      </c>
      <c r="E57">
        <v>0.29151672000000001</v>
      </c>
      <c r="F57">
        <v>-0.38360322000000002</v>
      </c>
      <c r="G57">
        <v>-0.11650454</v>
      </c>
      <c r="H57">
        <v>4.2353243999999996E-3</v>
      </c>
      <c r="I57">
        <v>7.9467330000000003E-2</v>
      </c>
      <c r="J57">
        <v>-0.50287442999999998</v>
      </c>
      <c r="K57">
        <v>0.15921076000000001</v>
      </c>
      <c r="L57">
        <v>-0.24735289999999999</v>
      </c>
    </row>
    <row r="58" spans="1:12" x14ac:dyDescent="0.3">
      <c r="A58" s="29">
        <f>ReLU!$BE$155</f>
        <v>1.2714942100000002</v>
      </c>
      <c r="C58">
        <v>-0.25446345999999997</v>
      </c>
      <c r="D58">
        <v>0.36220091999999998</v>
      </c>
      <c r="E58">
        <v>-4.6266936000000002E-2</v>
      </c>
      <c r="F58">
        <v>0.35847282000000003</v>
      </c>
      <c r="G58">
        <v>0.61175089999999999</v>
      </c>
      <c r="H58">
        <v>-0.47928903</v>
      </c>
      <c r="I58">
        <v>-0.17548662000000001</v>
      </c>
      <c r="J58">
        <v>-0.14934576999999999</v>
      </c>
      <c r="K58">
        <v>-5.1335371999999997E-2</v>
      </c>
      <c r="L58">
        <v>-0.6493352</v>
      </c>
    </row>
    <row r="59" spans="1:12" x14ac:dyDescent="0.3">
      <c r="A59" s="29">
        <f>ReLU!$BF$155</f>
        <v>0.66196943429999999</v>
      </c>
      <c r="C59">
        <v>-0.84414149999999999</v>
      </c>
      <c r="D59">
        <v>-4.1077155999999998E-3</v>
      </c>
      <c r="E59">
        <v>-0.51901364000000005</v>
      </c>
      <c r="F59">
        <v>0.50599355000000001</v>
      </c>
      <c r="G59">
        <v>-0.11508862</v>
      </c>
      <c r="H59">
        <v>-5.4243783999999998E-3</v>
      </c>
      <c r="I59">
        <v>-0.67330749999999995</v>
      </c>
      <c r="J59">
        <v>-0.50203909999999996</v>
      </c>
      <c r="K59">
        <v>0.12005341999999999</v>
      </c>
      <c r="L59">
        <v>0.23310491</v>
      </c>
    </row>
    <row r="60" spans="1:12" x14ac:dyDescent="0.3">
      <c r="A60" s="29">
        <f>ReLU!$BG$155</f>
        <v>0</v>
      </c>
      <c r="C60">
        <v>-1.0029197999999999</v>
      </c>
      <c r="D60">
        <v>-0.2158119</v>
      </c>
      <c r="E60">
        <v>-0.1648722</v>
      </c>
      <c r="F60">
        <v>-0.82085054999999996</v>
      </c>
      <c r="G60">
        <v>0.36806460000000002</v>
      </c>
      <c r="H60">
        <v>-0.36972427000000002</v>
      </c>
      <c r="I60">
        <v>-0.63285840000000004</v>
      </c>
      <c r="J60">
        <v>0.18279576</v>
      </c>
      <c r="K60">
        <v>-0.73216939999999997</v>
      </c>
      <c r="L60">
        <v>0.13943075999999999</v>
      </c>
    </row>
    <row r="61" spans="1:12" x14ac:dyDescent="0.3">
      <c r="A61" s="29">
        <f>ReLU!$BH$155</f>
        <v>0</v>
      </c>
      <c r="C61">
        <v>-0.37794334000000002</v>
      </c>
      <c r="D61">
        <v>5.1568225000000002E-2</v>
      </c>
      <c r="E61">
        <v>0.36367473</v>
      </c>
      <c r="F61">
        <v>-0.49980822000000003</v>
      </c>
      <c r="G61">
        <v>5.1818106000000003E-2</v>
      </c>
      <c r="H61">
        <v>-1.4340746999999999E-2</v>
      </c>
      <c r="I61">
        <v>0.248891</v>
      </c>
      <c r="J61">
        <v>-0.62927352999999997</v>
      </c>
      <c r="K61">
        <v>-4.6460424E-2</v>
      </c>
      <c r="L61">
        <v>2.3891214000000001E-2</v>
      </c>
    </row>
    <row r="62" spans="1:12" x14ac:dyDescent="0.3">
      <c r="A62" s="29">
        <f>ReLU!$BI$155</f>
        <v>1.0903283990000001</v>
      </c>
      <c r="C62">
        <v>-0.46463895</v>
      </c>
      <c r="D62">
        <v>0.30933768</v>
      </c>
      <c r="E62">
        <v>8.1551219999999994E-2</v>
      </c>
      <c r="F62">
        <v>0.35987987999999999</v>
      </c>
      <c r="G62">
        <v>-0.43480465000000001</v>
      </c>
      <c r="H62">
        <v>-0.51225609999999999</v>
      </c>
      <c r="I62">
        <v>-0.14947821</v>
      </c>
      <c r="J62">
        <v>-0.36380318</v>
      </c>
      <c r="K62">
        <v>-3.5271614999999999E-2</v>
      </c>
      <c r="L62">
        <v>-0.10207396000000001</v>
      </c>
    </row>
    <row r="63" spans="1:12" x14ac:dyDescent="0.3">
      <c r="A63" s="29">
        <f>ReLU!$BJ$155</f>
        <v>1.2923827607000002</v>
      </c>
      <c r="C63">
        <v>0.25464594000000002</v>
      </c>
      <c r="D63">
        <v>0.15665898</v>
      </c>
      <c r="E63">
        <v>0.2628837</v>
      </c>
      <c r="F63">
        <v>-0.3111467</v>
      </c>
      <c r="G63">
        <v>0.26281574000000002</v>
      </c>
      <c r="H63">
        <v>-1.2456068</v>
      </c>
      <c r="I63">
        <v>-0.63154845999999998</v>
      </c>
      <c r="J63">
        <v>0.11766724000000001</v>
      </c>
      <c r="K63">
        <v>-0.22909795999999999</v>
      </c>
      <c r="L63">
        <v>0.33863404000000003</v>
      </c>
    </row>
    <row r="64" spans="1:12" x14ac:dyDescent="0.3">
      <c r="A64" s="29">
        <f>ReLU!$BK$155</f>
        <v>0.77949697900000015</v>
      </c>
      <c r="C64">
        <v>-0.12942234999999999</v>
      </c>
      <c r="D64">
        <v>-0.14389034000000001</v>
      </c>
      <c r="E64">
        <v>-0.23320077</v>
      </c>
      <c r="F64">
        <v>1.5509721000000001E-2</v>
      </c>
      <c r="G64">
        <v>-7.7420340000000004E-2</v>
      </c>
      <c r="H64">
        <v>0.18410033000000001</v>
      </c>
      <c r="I64">
        <v>-0.27554464000000001</v>
      </c>
      <c r="J64">
        <v>0.1430659</v>
      </c>
      <c r="K64">
        <v>0.30724414999999999</v>
      </c>
      <c r="L64">
        <v>0.11955648000000001</v>
      </c>
    </row>
    <row r="65" spans="1:12" x14ac:dyDescent="0.3">
      <c r="A65" s="29">
        <f>ReLU!$BL$155</f>
        <v>0.56756160557999991</v>
      </c>
      <c r="C65">
        <v>-0.34340733000000001</v>
      </c>
      <c r="D65">
        <v>-0.41687307000000001</v>
      </c>
      <c r="E65">
        <v>-0.30661082000000001</v>
      </c>
      <c r="F65">
        <v>1.4361799999999999E-2</v>
      </c>
      <c r="G65">
        <v>0.23097634</v>
      </c>
      <c r="H65">
        <v>-5.610072E-2</v>
      </c>
      <c r="I65">
        <v>9.8936380000000004E-2</v>
      </c>
      <c r="J65">
        <v>-0.20845330000000001</v>
      </c>
      <c r="K65">
        <v>1.1300948E-2</v>
      </c>
      <c r="L65">
        <v>-1.5315362000000001E-2</v>
      </c>
    </row>
    <row r="66" spans="1:12" x14ac:dyDescent="0.3">
      <c r="A66" s="29">
        <f>ReLU!$BM$155</f>
        <v>0</v>
      </c>
      <c r="C66">
        <v>0.30897375999999999</v>
      </c>
      <c r="D66">
        <v>-0.47108509999999998</v>
      </c>
      <c r="E66">
        <v>0.33646717999999998</v>
      </c>
      <c r="F66">
        <v>-0.55642740000000002</v>
      </c>
      <c r="G66">
        <v>0.34595715999999999</v>
      </c>
      <c r="H66">
        <v>-2.9417322999999999E-2</v>
      </c>
      <c r="I66">
        <v>-0.28683576</v>
      </c>
      <c r="J66">
        <v>0.74151540000000005</v>
      </c>
      <c r="K66">
        <v>-0.67459619999999998</v>
      </c>
      <c r="L66">
        <v>-0.30547804000000001</v>
      </c>
    </row>
    <row r="67" spans="1:12" x14ac:dyDescent="0.3">
      <c r="A67" s="29">
        <f>ReLU!$BN$155</f>
        <v>1.7268529199999998</v>
      </c>
      <c r="C67">
        <v>3.1048808000000001E-2</v>
      </c>
      <c r="D67">
        <v>0.29131404</v>
      </c>
      <c r="E67">
        <v>-0.46059834999999999</v>
      </c>
      <c r="F67">
        <v>-0.14875846000000001</v>
      </c>
      <c r="G67">
        <v>0.71785900000000002</v>
      </c>
      <c r="H67">
        <v>0.35198620000000003</v>
      </c>
      <c r="I67">
        <v>-0.80302629999999997</v>
      </c>
      <c r="J67">
        <v>0.11074402</v>
      </c>
      <c r="K67">
        <v>-0.66298199999999996</v>
      </c>
      <c r="L67">
        <v>-0.63240030000000003</v>
      </c>
    </row>
    <row r="68" spans="1:12" x14ac:dyDescent="0.3">
      <c r="A68" s="29">
        <f>ReLU!$BO$155</f>
        <v>0.43912827820000006</v>
      </c>
      <c r="C68">
        <v>-0.27550668</v>
      </c>
      <c r="D68">
        <v>-0.18033287000000001</v>
      </c>
      <c r="E68">
        <v>0.18496776000000001</v>
      </c>
      <c r="F68">
        <v>0.3759691</v>
      </c>
      <c r="G68">
        <v>-0.64212793000000001</v>
      </c>
      <c r="H68">
        <v>0.52919119999999997</v>
      </c>
      <c r="I68">
        <v>6.8311789999999997E-2</v>
      </c>
      <c r="J68">
        <v>4.3220830000000002E-2</v>
      </c>
      <c r="K68">
        <v>-0.4544918</v>
      </c>
      <c r="L68">
        <v>-0.98280849999999997</v>
      </c>
    </row>
    <row r="69" spans="1:12" x14ac:dyDescent="0.3">
      <c r="A69">
        <f>ReLU!$BP$155</f>
        <v>1.2300949110000001</v>
      </c>
      <c r="C69">
        <v>2.6189169000000002E-2</v>
      </c>
      <c r="D69">
        <v>-0.43151230000000002</v>
      </c>
      <c r="E69">
        <v>5.3600374999999999E-2</v>
      </c>
      <c r="F69">
        <v>0.28345856000000003</v>
      </c>
      <c r="G69">
        <v>0.14046650999999999</v>
      </c>
      <c r="H69">
        <v>9.9846389999999993E-2</v>
      </c>
      <c r="I69">
        <v>-0.20238724</v>
      </c>
      <c r="J69">
        <v>-4.9714264000000001E-2</v>
      </c>
      <c r="K69">
        <v>0.24102282999999999</v>
      </c>
      <c r="L69">
        <v>0.14875060000000001</v>
      </c>
    </row>
    <row r="70" spans="1:12" x14ac:dyDescent="0.3">
      <c r="A70">
        <f>ReLU!$BQ$155</f>
        <v>0.95646451129999999</v>
      </c>
      <c r="C70">
        <v>-6.3472819999999999E-2</v>
      </c>
      <c r="D70">
        <v>-0.27633974</v>
      </c>
      <c r="E70">
        <v>0.14729822000000001</v>
      </c>
      <c r="F70">
        <v>0.22793843</v>
      </c>
      <c r="G70">
        <v>0.21758817</v>
      </c>
      <c r="H70">
        <v>6.6653103999999999E-4</v>
      </c>
      <c r="I70">
        <v>0.25384706000000001</v>
      </c>
      <c r="J70">
        <v>-0.35263990000000001</v>
      </c>
      <c r="K70">
        <v>7.8892894000000005E-2</v>
      </c>
      <c r="L70">
        <v>-6.824877E-2</v>
      </c>
    </row>
    <row r="71" spans="1:12" x14ac:dyDescent="0.3">
      <c r="A71">
        <f>ReLU!$BR$155</f>
        <v>0.40363203059999986</v>
      </c>
      <c r="C71">
        <v>-1.4585338E-2</v>
      </c>
      <c r="D71">
        <v>0.14023356000000001</v>
      </c>
      <c r="E71">
        <v>-0.48164698</v>
      </c>
      <c r="F71">
        <v>-0.24467929999999999</v>
      </c>
      <c r="G71">
        <v>-0.10821205</v>
      </c>
      <c r="H71">
        <v>9.4328099999999998E-2</v>
      </c>
      <c r="I71">
        <v>-0.28090809999999999</v>
      </c>
      <c r="J71">
        <v>-0.69127846000000004</v>
      </c>
      <c r="K71">
        <v>0.44086754</v>
      </c>
      <c r="L71">
        <v>-0.37159484999999998</v>
      </c>
    </row>
    <row r="72" spans="1:12" x14ac:dyDescent="0.3">
      <c r="A72">
        <f>ReLU!$BS$155</f>
        <v>0.13957471100000002</v>
      </c>
      <c r="C72">
        <v>0.17241145999999999</v>
      </c>
      <c r="D72">
        <v>6.5241530000000006E-2</v>
      </c>
      <c r="E72">
        <v>0.14936611</v>
      </c>
      <c r="F72">
        <v>-0.11409577999999999</v>
      </c>
      <c r="G72">
        <v>0.33884950000000003</v>
      </c>
      <c r="H72">
        <v>-4.5394410000000003E-2</v>
      </c>
      <c r="I72">
        <v>0.16218500999999999</v>
      </c>
      <c r="J72">
        <v>-0.53111779999999997</v>
      </c>
      <c r="K72">
        <v>0.21002799999999999</v>
      </c>
      <c r="L72">
        <v>-0.64161389999999996</v>
      </c>
    </row>
    <row r="73" spans="1:12" x14ac:dyDescent="0.3">
      <c r="A73">
        <f>ReLU!$BT$155</f>
        <v>0.95419236900000004</v>
      </c>
      <c r="C73">
        <v>0.21632684999999999</v>
      </c>
      <c r="D73">
        <v>-0.42714049999999998</v>
      </c>
      <c r="E73">
        <v>0.24013166</v>
      </c>
      <c r="F73">
        <v>0.26904133000000002</v>
      </c>
      <c r="G73">
        <v>-0.99192979999999997</v>
      </c>
      <c r="H73">
        <v>0.32409223999999998</v>
      </c>
      <c r="I73">
        <v>8.3267400000000005E-2</v>
      </c>
      <c r="J73">
        <v>-0.60009290000000004</v>
      </c>
      <c r="K73">
        <v>-0.30835256</v>
      </c>
      <c r="L73">
        <v>-0.23106176</v>
      </c>
    </row>
    <row r="74" spans="1:12" x14ac:dyDescent="0.3">
      <c r="A74">
        <f>ReLU!$BU$155</f>
        <v>0</v>
      </c>
      <c r="C74">
        <v>-0.446301</v>
      </c>
      <c r="D74">
        <v>-3.7304900000000002E-2</v>
      </c>
      <c r="E74">
        <v>-0.74198120000000001</v>
      </c>
      <c r="F74">
        <v>-0.67360330000000002</v>
      </c>
      <c r="G74">
        <v>0.17365336000000001</v>
      </c>
      <c r="H74">
        <v>0.31214976</v>
      </c>
      <c r="I74">
        <v>0.49047449999999998</v>
      </c>
      <c r="J74">
        <v>-0.47251862</v>
      </c>
      <c r="K74">
        <v>-5.229408E-2</v>
      </c>
      <c r="L74">
        <v>0.22208654999999999</v>
      </c>
    </row>
    <row r="75" spans="1:12" x14ac:dyDescent="0.3">
      <c r="A75">
        <f>ReLU!$BV$155</f>
        <v>0.989101601</v>
      </c>
      <c r="C75">
        <v>6.0552698000000002E-2</v>
      </c>
      <c r="D75">
        <v>0.42907329999999999</v>
      </c>
      <c r="E75">
        <v>-0.17902815</v>
      </c>
      <c r="F75">
        <v>2.4999090000000002E-2</v>
      </c>
      <c r="G75">
        <v>0.13257933999999999</v>
      </c>
      <c r="H75">
        <v>-0.76821755999999997</v>
      </c>
      <c r="I75">
        <v>-0.39830919999999997</v>
      </c>
      <c r="J75">
        <v>0.41577934999999999</v>
      </c>
      <c r="K75">
        <v>-0.86914630000000004</v>
      </c>
      <c r="L75">
        <v>-8.3774690000000002E-3</v>
      </c>
    </row>
    <row r="76" spans="1:12" x14ac:dyDescent="0.3">
      <c r="A76">
        <f>ReLU!$BW$155</f>
        <v>0.67073946859999989</v>
      </c>
      <c r="C76">
        <v>0.21570802</v>
      </c>
      <c r="D76">
        <v>0.24165702</v>
      </c>
      <c r="E76">
        <v>0.12871458</v>
      </c>
      <c r="F76">
        <v>0.18758827</v>
      </c>
      <c r="G76">
        <v>0.19240287</v>
      </c>
      <c r="H76">
        <v>-0.78469323999999996</v>
      </c>
      <c r="I76">
        <v>0.40987685000000001</v>
      </c>
      <c r="J76">
        <v>0.25434332999999998</v>
      </c>
      <c r="K76">
        <v>-0.68074953999999999</v>
      </c>
      <c r="L76">
        <v>-0.6935209</v>
      </c>
    </row>
    <row r="77" spans="1:12" x14ac:dyDescent="0.3">
      <c r="A77">
        <f>ReLU!$BX$155</f>
        <v>8.9296717000000192E-2</v>
      </c>
      <c r="C77">
        <v>-0.26105428000000003</v>
      </c>
      <c r="D77">
        <v>-8.3215065000000005E-2</v>
      </c>
      <c r="E77">
        <v>-0.50917310000000005</v>
      </c>
      <c r="F77">
        <v>-0.37945640000000003</v>
      </c>
      <c r="G77">
        <v>3.3342811999999999E-2</v>
      </c>
      <c r="H77">
        <v>-0.18737043</v>
      </c>
      <c r="I77">
        <v>-0.17407806000000001</v>
      </c>
      <c r="J77">
        <v>-0.64825679999999997</v>
      </c>
      <c r="K77">
        <v>0.28981026999999998</v>
      </c>
      <c r="L77">
        <v>0.19104705999999999</v>
      </c>
    </row>
    <row r="78" spans="1:12" x14ac:dyDescent="0.3">
      <c r="A78">
        <f>ReLU!$BY$155</f>
        <v>0.34767940959999999</v>
      </c>
      <c r="C78">
        <v>2.0765672999999998E-2</v>
      </c>
      <c r="D78">
        <v>-0.64566049999999997</v>
      </c>
      <c r="E78">
        <v>9.4003020000000007E-2</v>
      </c>
      <c r="F78">
        <v>-0.20426649999999999</v>
      </c>
      <c r="G78">
        <v>0.15634294000000001</v>
      </c>
      <c r="H78">
        <v>-0.22007196000000001</v>
      </c>
      <c r="I78">
        <v>-0.18715687</v>
      </c>
      <c r="J78">
        <v>-0.31367859999999997</v>
      </c>
      <c r="K78">
        <v>0.22912213000000001</v>
      </c>
      <c r="L78">
        <v>-3.1076212999999998E-2</v>
      </c>
    </row>
    <row r="79" spans="1:12" x14ac:dyDescent="0.3">
      <c r="A79">
        <f>ReLU!$BZ$155</f>
        <v>0.95644051200000013</v>
      </c>
      <c r="C79">
        <v>1.5632756000000001E-2</v>
      </c>
      <c r="D79">
        <v>0.15292232</v>
      </c>
      <c r="E79">
        <v>0.54550712999999995</v>
      </c>
      <c r="F79">
        <v>-0.15597865</v>
      </c>
      <c r="G79">
        <v>-0.81267270000000003</v>
      </c>
      <c r="H79">
        <v>-0.57622010000000001</v>
      </c>
      <c r="I79">
        <v>-0.55584734999999996</v>
      </c>
      <c r="J79">
        <v>-1.7917806000000001E-2</v>
      </c>
      <c r="K79">
        <v>-1.2672176E-2</v>
      </c>
      <c r="L79">
        <v>0.13023568999999999</v>
      </c>
    </row>
    <row r="80" spans="1:12" x14ac:dyDescent="0.3">
      <c r="A80">
        <f>ReLU!$CA$155</f>
        <v>7.5196005800000021E-2</v>
      </c>
      <c r="C80">
        <v>-0.50300979999999995</v>
      </c>
      <c r="D80">
        <v>1.7242014E-2</v>
      </c>
      <c r="E80">
        <v>-0.60168600000000005</v>
      </c>
      <c r="F80">
        <v>0.11613956</v>
      </c>
      <c r="G80">
        <v>8.0959210000000004E-2</v>
      </c>
      <c r="H80">
        <v>-0.30080622000000001</v>
      </c>
      <c r="I80">
        <v>-0.6934051</v>
      </c>
      <c r="J80">
        <v>-6.8129666000000005E-2</v>
      </c>
      <c r="K80">
        <v>0.11759601</v>
      </c>
      <c r="L80">
        <v>0.16717303999999999</v>
      </c>
    </row>
    <row r="81" spans="1:12" x14ac:dyDescent="0.3">
      <c r="A81">
        <f>ReLU!$CB$155</f>
        <v>0.11821844999999986</v>
      </c>
      <c r="C81">
        <v>-0.57068479999999999</v>
      </c>
      <c r="D81">
        <v>-0.44908065000000003</v>
      </c>
      <c r="E81">
        <v>0.29894399999999999</v>
      </c>
      <c r="F81">
        <v>0.20578176000000001</v>
      </c>
      <c r="G81">
        <v>-0.28581689999999998</v>
      </c>
      <c r="H81">
        <v>-0.41361019999999998</v>
      </c>
      <c r="I81">
        <v>5.1980055999999997E-2</v>
      </c>
      <c r="J81">
        <v>9.355811E-2</v>
      </c>
      <c r="K81">
        <v>0.14653382000000001</v>
      </c>
      <c r="L81">
        <v>-0.41870803000000001</v>
      </c>
    </row>
    <row r="82" spans="1:12" x14ac:dyDescent="0.3">
      <c r="A82">
        <f>ReLU!$CC$155</f>
        <v>0</v>
      </c>
      <c r="C82">
        <v>-0.10020298499999999</v>
      </c>
      <c r="D82">
        <v>-0.40613535000000001</v>
      </c>
      <c r="E82">
        <v>0.50117730000000005</v>
      </c>
      <c r="F82">
        <v>0.22037615999999999</v>
      </c>
      <c r="G82">
        <v>0.25433529999999999</v>
      </c>
      <c r="H82">
        <v>-3.6230024E-2</v>
      </c>
      <c r="I82">
        <v>0.12892495000000001</v>
      </c>
      <c r="J82">
        <v>-9.0004094000000007E-2</v>
      </c>
      <c r="K82">
        <v>-0.71858869999999997</v>
      </c>
      <c r="L82">
        <v>-0.24436896</v>
      </c>
    </row>
    <row r="83" spans="1:12" x14ac:dyDescent="0.3">
      <c r="A83">
        <f>ReLU!$CD$155</f>
        <v>0.2481274274999998</v>
      </c>
      <c r="C83">
        <v>-0.40850740000000002</v>
      </c>
      <c r="D83">
        <v>-1.0235698E-2</v>
      </c>
      <c r="E83">
        <v>9.3854270000000004E-2</v>
      </c>
      <c r="F83">
        <v>0.13506924000000001</v>
      </c>
      <c r="G83">
        <v>-0.26965826999999998</v>
      </c>
      <c r="H83">
        <v>0.20779483000000001</v>
      </c>
      <c r="I83">
        <v>0.27502072</v>
      </c>
      <c r="J83">
        <v>4.8270873999999998E-2</v>
      </c>
      <c r="K83">
        <v>0.2471198</v>
      </c>
      <c r="L83">
        <v>1.0606267000000001E-2</v>
      </c>
    </row>
    <row r="84" spans="1:12" x14ac:dyDescent="0.3">
      <c r="A84">
        <f>ReLU!$CE$155</f>
        <v>1.0144299089000002</v>
      </c>
      <c r="C84">
        <v>-0.22395984999999999</v>
      </c>
      <c r="D84">
        <v>-0.52787936000000002</v>
      </c>
      <c r="E84">
        <v>0.13036376</v>
      </c>
      <c r="F84">
        <v>-0.40908990000000001</v>
      </c>
      <c r="G84">
        <v>0.26156383999999999</v>
      </c>
      <c r="H84">
        <v>-7.7019260000000006E-2</v>
      </c>
      <c r="I84">
        <v>0.11370706</v>
      </c>
      <c r="J84">
        <v>-0.61005162999999996</v>
      </c>
      <c r="K84">
        <v>0.22167464000000001</v>
      </c>
      <c r="L84">
        <v>0.113185965</v>
      </c>
    </row>
    <row r="85" spans="1:12" x14ac:dyDescent="0.3">
      <c r="A85">
        <f>ReLU!$CF$155</f>
        <v>0</v>
      </c>
      <c r="C85">
        <v>-0.18691556000000001</v>
      </c>
      <c r="D85">
        <v>-0.59304920000000005</v>
      </c>
      <c r="E85">
        <v>0.23425014</v>
      </c>
      <c r="F85">
        <v>-0.31813206999999999</v>
      </c>
      <c r="G85">
        <v>-5.7336353E-2</v>
      </c>
      <c r="H85">
        <v>-0.31213087</v>
      </c>
      <c r="I85">
        <v>0.46491127999999998</v>
      </c>
      <c r="J85">
        <v>0.12985803000000001</v>
      </c>
      <c r="K85">
        <v>-0.59080076000000004</v>
      </c>
      <c r="L85">
        <v>0.2426933</v>
      </c>
    </row>
    <row r="86" spans="1:12" x14ac:dyDescent="0.3">
      <c r="A86">
        <f>ReLU!$CG$155</f>
        <v>0.21932561099999992</v>
      </c>
      <c r="C86">
        <v>2.4821024000000001E-2</v>
      </c>
      <c r="D86">
        <v>0.11039246599999999</v>
      </c>
      <c r="E86">
        <v>1.7696980000000001E-2</v>
      </c>
      <c r="F86">
        <v>0.23294775000000001</v>
      </c>
      <c r="G86">
        <v>0.14450615999999999</v>
      </c>
      <c r="H86">
        <v>-0.25719530000000002</v>
      </c>
      <c r="I86">
        <v>-0.12244882999999999</v>
      </c>
      <c r="J86">
        <v>0.34822908000000002</v>
      </c>
      <c r="K86">
        <v>-0.32593529999999998</v>
      </c>
      <c r="L86">
        <v>-0.41788747999999998</v>
      </c>
    </row>
    <row r="87" spans="1:12" x14ac:dyDescent="0.3">
      <c r="A87">
        <f>ReLU!$CH$155</f>
        <v>0</v>
      </c>
      <c r="C87">
        <v>-6.8551106000000004E-3</v>
      </c>
      <c r="D87">
        <v>0.11721478</v>
      </c>
      <c r="E87">
        <v>-0.16785164</v>
      </c>
      <c r="F87">
        <v>-0.75290889999999999</v>
      </c>
      <c r="G87">
        <v>0.43842073999999998</v>
      </c>
      <c r="H87">
        <v>-0.24239926000000001</v>
      </c>
      <c r="I87">
        <v>0.33706150000000001</v>
      </c>
      <c r="J87">
        <v>9.0776129999999997E-2</v>
      </c>
      <c r="K87">
        <v>0.56093479999999996</v>
      </c>
      <c r="L87">
        <v>-0.93939989999999995</v>
      </c>
    </row>
    <row r="88" spans="1:12" x14ac:dyDescent="0.3">
      <c r="A88">
        <f>ReLU!$CI$155</f>
        <v>0.95773086899999993</v>
      </c>
      <c r="C88">
        <v>-0.52890086000000003</v>
      </c>
      <c r="D88">
        <v>0.15975102999999999</v>
      </c>
      <c r="E88">
        <v>1.2748905E-2</v>
      </c>
      <c r="F88">
        <v>-7.9107060000000007E-2</v>
      </c>
      <c r="G88">
        <v>-0.1488273</v>
      </c>
      <c r="H88">
        <v>8.3075284999999999E-2</v>
      </c>
      <c r="I88">
        <v>0.12438217999999999</v>
      </c>
      <c r="J88">
        <v>7.3357774000000001E-3</v>
      </c>
      <c r="K88">
        <v>7.7575229999999995E-2</v>
      </c>
      <c r="L88">
        <v>0.14164081000000001</v>
      </c>
    </row>
    <row r="89" spans="1:12" x14ac:dyDescent="0.3">
      <c r="A89">
        <f>ReLU!$CJ$155</f>
        <v>0.73618860499999994</v>
      </c>
      <c r="C89">
        <v>0.46803630000000002</v>
      </c>
      <c r="D89">
        <v>0.36555576000000001</v>
      </c>
      <c r="E89">
        <v>-6.5992640000000005E-2</v>
      </c>
      <c r="F89">
        <v>-0.28428717999999997</v>
      </c>
      <c r="G89">
        <v>-0.76736000000000004</v>
      </c>
      <c r="H89">
        <v>-0.28616892999999999</v>
      </c>
      <c r="I89">
        <v>5.8744020000000001E-2</v>
      </c>
      <c r="J89">
        <v>-5.989423E-2</v>
      </c>
      <c r="K89">
        <v>-0.49376848000000001</v>
      </c>
      <c r="L89">
        <v>0.2437088</v>
      </c>
    </row>
    <row r="90" spans="1:12" x14ac:dyDescent="0.3">
      <c r="A90">
        <f>ReLU!$CK$155</f>
        <v>0</v>
      </c>
      <c r="C90">
        <v>-0.1349745</v>
      </c>
      <c r="D90">
        <v>-0.30148930000000002</v>
      </c>
      <c r="E90">
        <v>-0.20136056999999999</v>
      </c>
      <c r="F90">
        <v>-1.0432909000000001E-2</v>
      </c>
      <c r="G90">
        <v>-9.5880270000000004E-2</v>
      </c>
      <c r="H90">
        <v>-2.2968128000000001E-2</v>
      </c>
      <c r="I90">
        <v>-0.81815152999999996</v>
      </c>
      <c r="J90">
        <v>0.23116423</v>
      </c>
      <c r="K90">
        <v>-9.0603169999999997E-2</v>
      </c>
      <c r="L90">
        <v>0.13589182</v>
      </c>
    </row>
    <row r="91" spans="1:12" x14ac:dyDescent="0.3">
      <c r="A91">
        <f>ReLU!$CL$155</f>
        <v>1.053981515</v>
      </c>
      <c r="C91">
        <v>0.21254903</v>
      </c>
      <c r="D91">
        <v>0.43698799999999999</v>
      </c>
      <c r="E91">
        <v>-9.4085075000000004E-2</v>
      </c>
      <c r="F91">
        <v>7.5712280000000007E-2</v>
      </c>
      <c r="G91">
        <v>4.9514155999999997E-2</v>
      </c>
      <c r="H91">
        <v>0.12165945</v>
      </c>
      <c r="I91">
        <v>-0.55655670000000002</v>
      </c>
      <c r="J91">
        <v>0.26668626000000001</v>
      </c>
      <c r="K91">
        <v>-0.48469800000000002</v>
      </c>
      <c r="L91">
        <v>0.23878284</v>
      </c>
    </row>
    <row r="92" spans="1:12" x14ac:dyDescent="0.3">
      <c r="A92">
        <f>ReLU!$CM$155</f>
        <v>0</v>
      </c>
      <c r="C92">
        <v>-1.0555442999999999E-2</v>
      </c>
      <c r="D92">
        <v>-0.35915360000000002</v>
      </c>
      <c r="E92">
        <v>9.7609459999999995E-2</v>
      </c>
      <c r="F92">
        <v>-9.3218670000000003E-2</v>
      </c>
      <c r="G92">
        <v>-0.55684142999999997</v>
      </c>
      <c r="H92">
        <v>0.22211078000000001</v>
      </c>
      <c r="I92">
        <v>-0.39483088</v>
      </c>
      <c r="J92">
        <v>-0.19309831999999999</v>
      </c>
      <c r="K92">
        <v>-0.54938125999999998</v>
      </c>
      <c r="L92">
        <v>0.17185274</v>
      </c>
    </row>
    <row r="93" spans="1:12" x14ac:dyDescent="0.3">
      <c r="A93">
        <f>ReLU!$CN$155</f>
        <v>1.1045989870000001</v>
      </c>
      <c r="C93">
        <v>0.23073084999999999</v>
      </c>
      <c r="D93">
        <v>0.40100497000000002</v>
      </c>
      <c r="E93">
        <v>0.32664072999999999</v>
      </c>
      <c r="F93">
        <v>0.1216184</v>
      </c>
      <c r="G93">
        <v>-0.6513717</v>
      </c>
      <c r="H93">
        <v>0.14009674999999999</v>
      </c>
      <c r="I93">
        <v>-0.59061430000000004</v>
      </c>
      <c r="J93">
        <v>0.45243042999999999</v>
      </c>
      <c r="K93">
        <v>-0.54799162999999995</v>
      </c>
      <c r="L93">
        <v>-0.56373996000000004</v>
      </c>
    </row>
    <row r="94" spans="1:12" x14ac:dyDescent="0.3">
      <c r="A94">
        <f>ReLU!$CO$155</f>
        <v>0</v>
      </c>
      <c r="C94">
        <v>-0.83081704000000001</v>
      </c>
      <c r="D94">
        <v>0.76570850000000001</v>
      </c>
      <c r="E94">
        <v>4.3895688000000002E-2</v>
      </c>
      <c r="F94">
        <v>-0.58179504000000004</v>
      </c>
      <c r="G94">
        <v>0.67194960000000004</v>
      </c>
      <c r="H94">
        <v>0.18069002000000001</v>
      </c>
      <c r="I94">
        <v>-0.114158705</v>
      </c>
      <c r="J94">
        <v>-0.59198874000000001</v>
      </c>
      <c r="K94">
        <v>-0.66510623999999996</v>
      </c>
      <c r="L94">
        <v>-0.39569833999999998</v>
      </c>
    </row>
    <row r="95" spans="1:12" x14ac:dyDescent="0.3">
      <c r="A95">
        <f>ReLU!$CP$155</f>
        <v>1.7453391295999998</v>
      </c>
      <c r="C95">
        <v>-0.46476450000000002</v>
      </c>
      <c r="D95">
        <v>0.61778014999999997</v>
      </c>
      <c r="E95">
        <v>-0.45019808</v>
      </c>
      <c r="F95">
        <v>-0.30299989999999999</v>
      </c>
      <c r="G95">
        <v>-0.15499245</v>
      </c>
      <c r="H95">
        <v>-0.61058365999999997</v>
      </c>
      <c r="I95">
        <v>0.37062689999999998</v>
      </c>
      <c r="J95">
        <v>0.3545739</v>
      </c>
      <c r="K95">
        <v>-0.46433574</v>
      </c>
      <c r="L95">
        <v>0.13285457000000001</v>
      </c>
    </row>
    <row r="96" spans="1:12" x14ac:dyDescent="0.3">
      <c r="A96">
        <f>ReLU!$CQ$155</f>
        <v>0</v>
      </c>
      <c r="C96">
        <v>0.23767157999999999</v>
      </c>
      <c r="D96">
        <v>-0.73430390000000001</v>
      </c>
      <c r="E96">
        <v>0.31227463</v>
      </c>
      <c r="F96">
        <v>-0.4838269</v>
      </c>
      <c r="G96">
        <v>7.4260365000000002E-3</v>
      </c>
      <c r="H96">
        <v>-0.67414019999999997</v>
      </c>
      <c r="I96">
        <v>-0.22734942</v>
      </c>
      <c r="J96">
        <v>-0.12780774</v>
      </c>
      <c r="K96">
        <v>-0.46242365000000002</v>
      </c>
      <c r="L96">
        <v>0.50956480000000004</v>
      </c>
    </row>
    <row r="97" spans="1:12" x14ac:dyDescent="0.3">
      <c r="A97">
        <f>ReLU!$CR$155</f>
        <v>0</v>
      </c>
      <c r="C97">
        <v>-0.45652493999999999</v>
      </c>
      <c r="D97">
        <v>0.18780272000000001</v>
      </c>
      <c r="E97">
        <v>0.39962157999999998</v>
      </c>
      <c r="F97">
        <v>-0.55681749999999997</v>
      </c>
      <c r="G97">
        <v>-0.29251136999999999</v>
      </c>
      <c r="H97">
        <v>0.66376179999999996</v>
      </c>
      <c r="I97">
        <v>-0.70434843999999996</v>
      </c>
      <c r="J97">
        <v>-0.63691240000000005</v>
      </c>
      <c r="K97">
        <v>-0.45088422</v>
      </c>
      <c r="L97">
        <v>-5.3049352000000001E-2</v>
      </c>
    </row>
    <row r="98" spans="1:12" x14ac:dyDescent="0.3">
      <c r="A98">
        <f>ReLU!$CS$155</f>
        <v>0.43848877499999989</v>
      </c>
      <c r="C98">
        <v>-0.11563552000000001</v>
      </c>
      <c r="D98">
        <v>-0.45143262000000001</v>
      </c>
      <c r="E98">
        <v>0.25664229999999999</v>
      </c>
      <c r="F98">
        <v>0.45433154999999997</v>
      </c>
      <c r="G98">
        <v>-0.81157564999999998</v>
      </c>
      <c r="H98">
        <v>0.11739641000000001</v>
      </c>
      <c r="I98">
        <v>-0.36521628</v>
      </c>
      <c r="J98">
        <v>0.51927080000000003</v>
      </c>
      <c r="K98">
        <v>-0.28874588000000001</v>
      </c>
      <c r="L98">
        <v>-0.33441934000000001</v>
      </c>
    </row>
    <row r="99" spans="1:12" x14ac:dyDescent="0.3">
      <c r="A99">
        <f>ReLU!$CT$155</f>
        <v>0.19909714399999998</v>
      </c>
      <c r="C99">
        <v>-0.39455797999999997</v>
      </c>
      <c r="D99">
        <v>-0.24411076000000001</v>
      </c>
      <c r="E99">
        <v>-0.41675884000000002</v>
      </c>
      <c r="F99">
        <v>0.40631420000000001</v>
      </c>
      <c r="G99">
        <v>0.27021269999999997</v>
      </c>
      <c r="H99">
        <v>3.8317874000000002E-2</v>
      </c>
      <c r="I99">
        <v>6.4332545000000005E-2</v>
      </c>
      <c r="J99">
        <v>-0.28095257000000001</v>
      </c>
      <c r="K99">
        <v>-1.1295500999999999</v>
      </c>
      <c r="L99">
        <v>0.27049666999999999</v>
      </c>
    </row>
    <row r="100" spans="1:12" x14ac:dyDescent="0.3">
      <c r="A100">
        <f>ReLU!$CU$155</f>
        <v>1.2314923732</v>
      </c>
      <c r="C100">
        <v>-0.35496824999999999</v>
      </c>
      <c r="D100">
        <v>9.2925579999999994E-2</v>
      </c>
      <c r="E100">
        <v>-0.44937009999999999</v>
      </c>
      <c r="F100">
        <v>0.21308640000000001</v>
      </c>
      <c r="G100">
        <v>0.23325035999999999</v>
      </c>
      <c r="H100">
        <v>-0.100065246</v>
      </c>
      <c r="I100">
        <v>-0.22445921999999999</v>
      </c>
      <c r="J100">
        <v>-0.18402404999999999</v>
      </c>
      <c r="K100">
        <v>0.22033305</v>
      </c>
      <c r="L100">
        <v>-0.25436237</v>
      </c>
    </row>
    <row r="101" spans="1:12" x14ac:dyDescent="0.3">
      <c r="A101">
        <f>ReLU!$CV$155</f>
        <v>0</v>
      </c>
      <c r="C101">
        <v>-0.5223816</v>
      </c>
      <c r="D101">
        <v>-0.42296937000000001</v>
      </c>
      <c r="E101">
        <v>-0.29886204</v>
      </c>
      <c r="F101">
        <v>-0.54323584000000003</v>
      </c>
      <c r="G101">
        <v>-1.1125001999999999</v>
      </c>
      <c r="H101">
        <v>0.64208036999999996</v>
      </c>
      <c r="I101">
        <v>0.54320663000000002</v>
      </c>
      <c r="J101">
        <v>0.36391109999999999</v>
      </c>
      <c r="K101">
        <v>1.6215983999999999E-2</v>
      </c>
      <c r="L101">
        <v>-0.13294413999999999</v>
      </c>
    </row>
    <row r="102" spans="1:12" x14ac:dyDescent="0.3">
      <c r="A102">
        <f>ReLU!$CW$155</f>
        <v>0</v>
      </c>
      <c r="C102">
        <v>-0.63199322999999996</v>
      </c>
      <c r="D102">
        <v>5.7020016E-2</v>
      </c>
      <c r="E102">
        <v>0.16813864000000001</v>
      </c>
      <c r="F102">
        <v>0.12857737</v>
      </c>
      <c r="G102">
        <v>-0.31184732999999998</v>
      </c>
      <c r="H102">
        <v>-0.73703980000000002</v>
      </c>
      <c r="I102">
        <v>-0.404387</v>
      </c>
      <c r="J102">
        <v>0.14408983</v>
      </c>
      <c r="K102">
        <v>0.26999509999999999</v>
      </c>
      <c r="L102">
        <v>0.17297508</v>
      </c>
    </row>
    <row r="103" spans="1:12" x14ac:dyDescent="0.3">
      <c r="A103">
        <f>ReLU!$CX$155</f>
        <v>0.73577132700000003</v>
      </c>
      <c r="C103">
        <v>-0.22410548</v>
      </c>
      <c r="D103">
        <v>-0.15688741</v>
      </c>
      <c r="E103">
        <v>0.14534130000000001</v>
      </c>
      <c r="F103">
        <v>-3.0546816000000001E-2</v>
      </c>
      <c r="G103">
        <v>-0.12789900000000001</v>
      </c>
      <c r="H103">
        <v>-0.25815788000000001</v>
      </c>
      <c r="I103">
        <v>-0.68669760000000002</v>
      </c>
      <c r="J103">
        <v>-2.7707128000000001E-2</v>
      </c>
      <c r="K103">
        <v>0.15337182999999999</v>
      </c>
      <c r="L103">
        <v>0.13962748999999999</v>
      </c>
    </row>
    <row r="104" spans="1:12" x14ac:dyDescent="0.3">
      <c r="A104" s="29">
        <f>ReLU!$CY$155</f>
        <v>0</v>
      </c>
      <c r="C104">
        <v>-0.84375500000000003</v>
      </c>
      <c r="D104">
        <v>-0.48953005999999999</v>
      </c>
      <c r="E104">
        <v>-0.50444069999999996</v>
      </c>
      <c r="F104">
        <v>0.32922207999999997</v>
      </c>
      <c r="G104">
        <v>0.22939578999999999</v>
      </c>
      <c r="H104">
        <v>0.38345864000000002</v>
      </c>
      <c r="I104">
        <v>-0.49286429999999998</v>
      </c>
      <c r="J104">
        <v>-8.0493599999999998E-2</v>
      </c>
      <c r="K104">
        <v>-0.71996669999999996</v>
      </c>
      <c r="L104">
        <v>0.2561215</v>
      </c>
    </row>
    <row r="105" spans="1:12" x14ac:dyDescent="0.3">
      <c r="A105" s="29">
        <f>ReLU!$CZ$155</f>
        <v>1.102651872</v>
      </c>
      <c r="C105">
        <v>-0.85622763999999996</v>
      </c>
      <c r="D105">
        <v>0.33011886000000001</v>
      </c>
      <c r="E105">
        <v>-0.15204634</v>
      </c>
      <c r="F105">
        <v>-0.40191719999999997</v>
      </c>
      <c r="G105">
        <v>9.8631960000000005E-2</v>
      </c>
      <c r="H105">
        <v>-0.56890594999999999</v>
      </c>
      <c r="I105">
        <v>-0.88219559999999997</v>
      </c>
      <c r="J105">
        <v>0.37008226</v>
      </c>
      <c r="K105">
        <v>-0.35389182000000002</v>
      </c>
      <c r="L105">
        <v>7.6149110000000006E-2</v>
      </c>
    </row>
    <row r="106" spans="1:12" x14ac:dyDescent="0.3">
      <c r="A106" s="29">
        <f>ReLU!$DA$155</f>
        <v>0</v>
      </c>
      <c r="C106">
        <v>6.1356959999999999E-5</v>
      </c>
      <c r="D106">
        <v>-0.47796184000000003</v>
      </c>
      <c r="E106">
        <v>-0.30726801999999998</v>
      </c>
      <c r="F106">
        <v>-0.22297929999999999</v>
      </c>
      <c r="G106">
        <v>2.7575424000000001E-2</v>
      </c>
      <c r="H106">
        <v>0.16529837</v>
      </c>
      <c r="I106">
        <v>-5.6551102999999998E-2</v>
      </c>
      <c r="J106">
        <v>-0.10477851000000001</v>
      </c>
      <c r="K106">
        <v>0.16620828000000001</v>
      </c>
      <c r="L106">
        <v>0.10137752</v>
      </c>
    </row>
    <row r="107" spans="1:12" x14ac:dyDescent="0.3">
      <c r="A107" s="29">
        <f>ReLU!$DB$155</f>
        <v>0.87357203250000004</v>
      </c>
      <c r="C107">
        <v>-0.45022669999999998</v>
      </c>
      <c r="D107">
        <v>-0.30841943999999999</v>
      </c>
      <c r="E107">
        <v>0.51237840000000001</v>
      </c>
      <c r="F107">
        <v>0.50417595999999998</v>
      </c>
      <c r="G107">
        <v>-0.31151032000000001</v>
      </c>
      <c r="H107">
        <v>-0.20328546</v>
      </c>
      <c r="I107">
        <v>-0.9375156</v>
      </c>
      <c r="J107">
        <v>0.54508524999999997</v>
      </c>
      <c r="K107">
        <v>-0.41794789999999998</v>
      </c>
      <c r="L107">
        <v>-0.58646463999999998</v>
      </c>
    </row>
    <row r="108" spans="1:12" x14ac:dyDescent="0.3">
      <c r="A108" s="29">
        <f>ReLU!$DC$155</f>
        <v>1.677832765</v>
      </c>
      <c r="C108">
        <v>-0.75511510000000004</v>
      </c>
      <c r="D108">
        <v>0.54208529999999999</v>
      </c>
      <c r="E108">
        <v>-0.43801509999999999</v>
      </c>
      <c r="F108">
        <v>-0.78151846000000003</v>
      </c>
      <c r="G108">
        <v>-0.15362185</v>
      </c>
      <c r="H108">
        <v>-0.45047987</v>
      </c>
      <c r="I108">
        <v>0.51497090000000001</v>
      </c>
      <c r="J108">
        <v>-0.35646559999999999</v>
      </c>
      <c r="K108">
        <v>-7.3374229999999999E-2</v>
      </c>
      <c r="L108">
        <v>-6.5508730000000001E-2</v>
      </c>
    </row>
    <row r="109" spans="1:12" x14ac:dyDescent="0.3">
      <c r="A109" s="29">
        <f>ReLU!$DD$155</f>
        <v>0</v>
      </c>
      <c r="C109">
        <v>-9.1551973999999994E-2</v>
      </c>
      <c r="D109">
        <v>-2.1574561999999999E-2</v>
      </c>
      <c r="E109">
        <v>-0.22653656999999999</v>
      </c>
      <c r="F109">
        <v>-0.48791018000000003</v>
      </c>
      <c r="G109">
        <v>-0.45185268000000001</v>
      </c>
      <c r="H109">
        <v>0.124888465</v>
      </c>
      <c r="I109">
        <v>0.36508742</v>
      </c>
      <c r="J109">
        <v>-0.33392569999999999</v>
      </c>
      <c r="K109">
        <v>0.28500326999999998</v>
      </c>
      <c r="L109">
        <v>0.26944595999999998</v>
      </c>
    </row>
    <row r="110" spans="1:12" x14ac:dyDescent="0.3">
      <c r="A110" s="29">
        <f>ReLU!$DE$155</f>
        <v>1.9238832449999996</v>
      </c>
      <c r="C110">
        <v>-0.42639714000000001</v>
      </c>
      <c r="D110">
        <v>-0.41918499999999997</v>
      </c>
      <c r="E110">
        <v>9.6253044999999995E-2</v>
      </c>
      <c r="F110">
        <v>0.29577799999999999</v>
      </c>
      <c r="G110">
        <v>-0.52285384999999995</v>
      </c>
      <c r="H110">
        <v>0.53958229999999996</v>
      </c>
      <c r="I110">
        <v>-0.55582434000000003</v>
      </c>
      <c r="J110">
        <v>-0.85749909999999996</v>
      </c>
      <c r="K110">
        <v>-6.7991040000000003E-2</v>
      </c>
      <c r="L110">
        <v>0.24071544</v>
      </c>
    </row>
    <row r="111" spans="1:12" x14ac:dyDescent="0.3">
      <c r="A111" s="29">
        <f>ReLU!$DF$155</f>
        <v>0</v>
      </c>
      <c r="C111">
        <v>0.38882487999999998</v>
      </c>
      <c r="D111">
        <v>1.3704264000000001E-2</v>
      </c>
      <c r="E111">
        <v>-0.93583685000000005</v>
      </c>
      <c r="F111">
        <v>-0.33773892999999999</v>
      </c>
      <c r="G111">
        <v>0.73774430000000002</v>
      </c>
      <c r="H111">
        <v>0.18361986999999999</v>
      </c>
      <c r="I111">
        <v>4.5205740000000001E-2</v>
      </c>
      <c r="J111">
        <v>0.46318394000000002</v>
      </c>
      <c r="K111">
        <v>-0.39096890000000001</v>
      </c>
      <c r="L111">
        <v>-0.52912250000000005</v>
      </c>
    </row>
    <row r="112" spans="1:12" x14ac:dyDescent="0.3">
      <c r="A112" s="29">
        <f>ReLU!$DG$155</f>
        <v>0</v>
      </c>
      <c r="C112">
        <v>-0.3725928</v>
      </c>
      <c r="D112">
        <v>9.6841250000000004E-2</v>
      </c>
      <c r="E112">
        <v>0.58712679999999995</v>
      </c>
      <c r="F112">
        <v>-8.7938500000000003E-2</v>
      </c>
      <c r="G112">
        <v>-0.13452101999999999</v>
      </c>
      <c r="H112">
        <v>-0.41437595999999999</v>
      </c>
      <c r="I112">
        <v>-0.72233987</v>
      </c>
      <c r="J112">
        <v>0.25494610000000001</v>
      </c>
      <c r="K112">
        <v>-0.43542524999999999</v>
      </c>
      <c r="L112">
        <v>0.2162104</v>
      </c>
    </row>
    <row r="113" spans="1:12" x14ac:dyDescent="0.3">
      <c r="A113" s="29">
        <f>ReLU!$DH$155</f>
        <v>0.73751427599999986</v>
      </c>
      <c r="C113">
        <v>8.9643680000000003E-2</v>
      </c>
      <c r="D113">
        <v>-0.39455515000000002</v>
      </c>
      <c r="E113">
        <v>-3.6484849999999999E-2</v>
      </c>
      <c r="F113">
        <v>-0.29445726</v>
      </c>
      <c r="G113">
        <v>-6.9465719999999995E-2</v>
      </c>
      <c r="H113">
        <v>5.0307433999999998E-2</v>
      </c>
      <c r="I113">
        <v>0.17608695999999999</v>
      </c>
      <c r="J113">
        <v>-0.40296601999999998</v>
      </c>
      <c r="K113">
        <v>0.2079609</v>
      </c>
      <c r="L113">
        <v>2.9492992999999999E-2</v>
      </c>
    </row>
    <row r="114" spans="1:12" x14ac:dyDescent="0.3">
      <c r="A114" s="29">
        <f>ReLU!$DI$155</f>
        <v>0.46448375899999994</v>
      </c>
      <c r="C114">
        <v>0.20913026000000001</v>
      </c>
      <c r="D114">
        <v>0.22700677999999999</v>
      </c>
      <c r="E114">
        <v>-0.3569039</v>
      </c>
      <c r="F114">
        <v>-0.13040574999999999</v>
      </c>
      <c r="G114">
        <v>-6.910065E-2</v>
      </c>
      <c r="H114">
        <v>0.16313954999999999</v>
      </c>
      <c r="I114">
        <v>0.23516007999999999</v>
      </c>
      <c r="J114">
        <v>-1.1001487000000001E-2</v>
      </c>
      <c r="K114">
        <v>-0.23350538000000001</v>
      </c>
      <c r="L114">
        <v>8.3315390000000003E-2</v>
      </c>
    </row>
    <row r="115" spans="1:12" x14ac:dyDescent="0.3">
      <c r="A115" s="29">
        <f>ReLU!$DJ$155</f>
        <v>0</v>
      </c>
      <c r="C115">
        <v>0.35997960000000001</v>
      </c>
      <c r="D115">
        <v>-0.36554684999999998</v>
      </c>
      <c r="E115">
        <v>-0.34211370000000002</v>
      </c>
      <c r="F115">
        <v>-0.52942604000000004</v>
      </c>
      <c r="G115">
        <v>8.215915E-2</v>
      </c>
      <c r="H115">
        <v>-0.14568055999999999</v>
      </c>
      <c r="I115">
        <v>0.13309562</v>
      </c>
      <c r="J115">
        <v>0.24274413</v>
      </c>
      <c r="K115">
        <v>-3.5658434000000003E-2</v>
      </c>
      <c r="L115">
        <v>-1.4831087999999999E-2</v>
      </c>
    </row>
    <row r="116" spans="1:12" x14ac:dyDescent="0.3">
      <c r="A116" s="29">
        <f>ReLU!$DK$155</f>
        <v>0.21672955471999997</v>
      </c>
      <c r="C116">
        <v>0.22115140999999999</v>
      </c>
      <c r="D116">
        <v>-0.37402712999999999</v>
      </c>
      <c r="E116">
        <v>1.1932145999999999E-2</v>
      </c>
      <c r="F116">
        <v>0.27582784999999999</v>
      </c>
      <c r="G116">
        <v>-0.20869254000000001</v>
      </c>
      <c r="H116">
        <v>9.2484940000000002E-2</v>
      </c>
      <c r="I116">
        <v>-0.11397067499999999</v>
      </c>
      <c r="J116">
        <v>0.12410406</v>
      </c>
      <c r="K116">
        <v>0.15477091000000001</v>
      </c>
      <c r="L116">
        <v>1.0456132E-2</v>
      </c>
    </row>
    <row r="117" spans="1:12" x14ac:dyDescent="0.3">
      <c r="A117" s="29">
        <f>ReLU!$DL$155</f>
        <v>0</v>
      </c>
      <c r="C117">
        <v>-0.20261525999999999</v>
      </c>
      <c r="D117">
        <v>-0.20964530000000001</v>
      </c>
      <c r="E117">
        <v>-0.24269715</v>
      </c>
      <c r="F117">
        <v>-0.29247240000000002</v>
      </c>
      <c r="G117">
        <v>-0.13193506999999999</v>
      </c>
      <c r="H117">
        <v>0.46945750000000003</v>
      </c>
      <c r="I117">
        <v>0.55949736000000005</v>
      </c>
      <c r="J117">
        <v>-0.55073970000000005</v>
      </c>
      <c r="K117">
        <v>-0.61576580000000003</v>
      </c>
      <c r="L117">
        <v>2.0321688000000001E-2</v>
      </c>
    </row>
    <row r="118" spans="1:12" x14ac:dyDescent="0.3">
      <c r="A118" s="29">
        <f>ReLU!$DM$155</f>
        <v>0.80629156200000007</v>
      </c>
      <c r="C118">
        <v>-0.39684722</v>
      </c>
      <c r="D118">
        <v>-0.42386487</v>
      </c>
      <c r="E118">
        <v>4.7142293000000002E-2</v>
      </c>
      <c r="F118">
        <v>-0.43195623</v>
      </c>
      <c r="G118">
        <v>-4.7095313999999999E-2</v>
      </c>
      <c r="H118">
        <v>0.23687208000000001</v>
      </c>
      <c r="I118">
        <v>5.2915003000000002E-2</v>
      </c>
      <c r="J118">
        <v>-0.26356151999999999</v>
      </c>
      <c r="K118">
        <v>0.43460587000000001</v>
      </c>
      <c r="L118">
        <v>7.4788876999999998E-3</v>
      </c>
    </row>
    <row r="119" spans="1:12" x14ac:dyDescent="0.3">
      <c r="A119">
        <f>ReLU!$DN$155</f>
        <v>1.7974619639999998</v>
      </c>
      <c r="C119">
        <v>-0.52043587000000002</v>
      </c>
      <c r="D119">
        <v>0.21096112</v>
      </c>
      <c r="E119">
        <v>0.28521236999999999</v>
      </c>
      <c r="F119">
        <v>6.5924839999999998E-2</v>
      </c>
      <c r="G119">
        <v>0.23715696</v>
      </c>
      <c r="H119">
        <v>-0.79889052999999999</v>
      </c>
      <c r="I119">
        <v>-0.18472804000000001</v>
      </c>
      <c r="J119">
        <v>-0.34531793</v>
      </c>
      <c r="K119">
        <v>8.5448510000000005E-2</v>
      </c>
      <c r="L119">
        <v>-0.78877079999999999</v>
      </c>
    </row>
    <row r="120" spans="1:12" x14ac:dyDescent="0.3">
      <c r="A120">
        <f>ReLU!$DO$155</f>
        <v>0.62243822900000001</v>
      </c>
      <c r="C120">
        <v>0.13559452</v>
      </c>
      <c r="D120">
        <v>-0.23146122999999999</v>
      </c>
      <c r="E120">
        <v>0.19943404000000001</v>
      </c>
      <c r="F120">
        <v>-8.9469820000000005E-2</v>
      </c>
      <c r="G120">
        <v>0.22330949</v>
      </c>
      <c r="H120">
        <v>-0.32535597999999999</v>
      </c>
      <c r="I120">
        <v>0.12632471000000001</v>
      </c>
      <c r="J120">
        <v>-0.14188518</v>
      </c>
      <c r="K120">
        <v>0.18182512000000001</v>
      </c>
      <c r="L120">
        <v>-0.10640108</v>
      </c>
    </row>
    <row r="121" spans="1:12" x14ac:dyDescent="0.3">
      <c r="A121">
        <f>ReLU!$DP$155</f>
        <v>0</v>
      </c>
      <c r="C121">
        <v>0.27874043999999998</v>
      </c>
      <c r="D121">
        <v>-0.45444694000000002</v>
      </c>
      <c r="E121">
        <v>8.2627593999999999E-2</v>
      </c>
      <c r="F121">
        <v>-0.18076608999999999</v>
      </c>
      <c r="G121">
        <v>0.27553670000000002</v>
      </c>
      <c r="H121">
        <v>-0.32282102000000001</v>
      </c>
      <c r="I121">
        <v>0.15181647000000001</v>
      </c>
      <c r="J121">
        <v>-0.38178005999999998</v>
      </c>
      <c r="K121">
        <v>0.10813884</v>
      </c>
      <c r="L121">
        <v>0.10623517</v>
      </c>
    </row>
    <row r="122" spans="1:12" x14ac:dyDescent="0.3">
      <c r="A122">
        <f>ReLU!$DQ$155</f>
        <v>0</v>
      </c>
      <c r="C122">
        <v>0.24007791000000001</v>
      </c>
      <c r="D122">
        <v>0.12242894999999999</v>
      </c>
      <c r="E122">
        <v>-0.50410239999999995</v>
      </c>
      <c r="F122">
        <v>8.0056414000000006E-2</v>
      </c>
      <c r="G122">
        <v>-0.37878635999999999</v>
      </c>
      <c r="H122">
        <v>7.5872852000000001E-3</v>
      </c>
      <c r="I122">
        <v>-0.37828526000000001</v>
      </c>
      <c r="J122">
        <v>2.0328942999999999E-2</v>
      </c>
      <c r="K122">
        <v>7.3821739999999997E-2</v>
      </c>
      <c r="L122">
        <v>0.14435263000000001</v>
      </c>
    </row>
    <row r="123" spans="1:12" x14ac:dyDescent="0.3">
      <c r="A123">
        <f>ReLU!$DR$155</f>
        <v>0</v>
      </c>
      <c r="C123">
        <v>-0.65437173999999998</v>
      </c>
      <c r="D123">
        <v>0.3420398</v>
      </c>
      <c r="E123">
        <v>0.35899885999999998</v>
      </c>
      <c r="F123">
        <v>0.27053674999999999</v>
      </c>
      <c r="G123">
        <v>0.30144757</v>
      </c>
      <c r="H123">
        <v>6.0837306000000001E-2</v>
      </c>
      <c r="I123">
        <v>-0.60127929999999996</v>
      </c>
      <c r="J123">
        <v>-0.50931360000000003</v>
      </c>
      <c r="K123">
        <v>-0.75771666000000004</v>
      </c>
      <c r="L123">
        <v>0.3462131</v>
      </c>
    </row>
    <row r="124" spans="1:12" x14ac:dyDescent="0.3">
      <c r="A124">
        <f>ReLU!$DS$155</f>
        <v>0</v>
      </c>
      <c r="C124">
        <v>0.32329797999999998</v>
      </c>
      <c r="D124">
        <v>-0.12212887</v>
      </c>
      <c r="E124">
        <v>0.47667130000000002</v>
      </c>
      <c r="F124">
        <v>0.26416612</v>
      </c>
      <c r="G124">
        <v>-4.0038890000000001E-2</v>
      </c>
      <c r="H124">
        <v>-1.1146715</v>
      </c>
      <c r="I124">
        <v>-0.81689659999999997</v>
      </c>
      <c r="J124">
        <v>0.13140935000000001</v>
      </c>
      <c r="K124">
        <v>-0.31951603000000001</v>
      </c>
      <c r="L124">
        <v>-0.17263070999999999</v>
      </c>
    </row>
    <row r="125" spans="1:12" x14ac:dyDescent="0.3">
      <c r="A125">
        <f>ReLU!$DT$155</f>
        <v>1.64019922087</v>
      </c>
      <c r="C125">
        <v>-0.3504237</v>
      </c>
      <c r="D125">
        <v>2.3222176000000001E-2</v>
      </c>
      <c r="E125">
        <v>-0.1227714</v>
      </c>
      <c r="F125">
        <v>-0.30346830000000002</v>
      </c>
      <c r="G125">
        <v>0.19478210000000001</v>
      </c>
      <c r="H125">
        <v>0.21098752000000001</v>
      </c>
      <c r="I125">
        <v>0.18325992999999999</v>
      </c>
      <c r="J125">
        <v>-0.21363471000000001</v>
      </c>
      <c r="K125">
        <v>0.12530664999999999</v>
      </c>
      <c r="L125">
        <v>-0.88979584</v>
      </c>
    </row>
    <row r="126" spans="1:12" x14ac:dyDescent="0.3">
      <c r="A126">
        <f>ReLU!$DU$155</f>
        <v>0.70834496042999995</v>
      </c>
      <c r="C126">
        <v>-0.24783114000000001</v>
      </c>
      <c r="D126">
        <v>7.1144970000000002E-2</v>
      </c>
      <c r="E126">
        <v>-0.15374425</v>
      </c>
      <c r="F126">
        <v>-5.4243042999999998E-2</v>
      </c>
      <c r="G126">
        <v>-0.29914766999999998</v>
      </c>
      <c r="H126">
        <v>-0.14514922</v>
      </c>
      <c r="I126">
        <v>0.1414261</v>
      </c>
      <c r="J126">
        <v>-9.9784070000000002E-2</v>
      </c>
      <c r="K126">
        <v>0.20375942999999999</v>
      </c>
      <c r="L126">
        <v>-8.3761070000000007E-2</v>
      </c>
    </row>
    <row r="127" spans="1:12" x14ac:dyDescent="0.3">
      <c r="A127">
        <f>ReLU!$DV$155</f>
        <v>0.62678190099999997</v>
      </c>
      <c r="C127">
        <v>5.7265530000000002E-2</v>
      </c>
      <c r="D127">
        <v>-5.1838009999999997E-2</v>
      </c>
      <c r="E127">
        <v>-1.2059263</v>
      </c>
      <c r="F127">
        <v>-0.29723699999999997</v>
      </c>
      <c r="G127">
        <v>-2.2692176000000001E-2</v>
      </c>
      <c r="H127">
        <v>0.20681377000000001</v>
      </c>
      <c r="I127">
        <v>-0.1718624</v>
      </c>
      <c r="J127">
        <v>0.14806673000000001</v>
      </c>
      <c r="K127">
        <v>-6.2680849999999996E-2</v>
      </c>
      <c r="L127">
        <v>0.14729631000000001</v>
      </c>
    </row>
    <row r="128" spans="1:12" x14ac:dyDescent="0.3">
      <c r="A128">
        <f>ReLU!$DW$155</f>
        <v>0.20292115899999999</v>
      </c>
      <c r="C128">
        <v>-0.29308665</v>
      </c>
      <c r="D128">
        <v>-0.55003864000000002</v>
      </c>
      <c r="E128">
        <v>-0.12012811</v>
      </c>
      <c r="F128">
        <v>-0.32048774000000002</v>
      </c>
      <c r="G128">
        <v>0.28041460000000001</v>
      </c>
      <c r="H128">
        <v>4.7861300000000002E-2</v>
      </c>
      <c r="I128">
        <v>0.13432224000000001</v>
      </c>
      <c r="J128">
        <v>0.23720073999999999</v>
      </c>
      <c r="K128">
        <v>-0.16189323</v>
      </c>
      <c r="L128">
        <v>-8.1695429999999996E-3</v>
      </c>
    </row>
    <row r="129" spans="1:12" x14ac:dyDescent="0.3">
      <c r="A129">
        <f>ReLU!$DX$155</f>
        <v>0.98508882699999978</v>
      </c>
      <c r="C129">
        <v>-0.59364760000000005</v>
      </c>
      <c r="D129">
        <v>0.32808498000000003</v>
      </c>
      <c r="E129">
        <v>0.44208762000000001</v>
      </c>
      <c r="F129">
        <v>-0.27466502999999998</v>
      </c>
      <c r="G129">
        <v>-0.72749335000000004</v>
      </c>
      <c r="H129">
        <v>-0.30212644</v>
      </c>
      <c r="I129">
        <v>-0.26703766000000001</v>
      </c>
      <c r="J129">
        <v>0.52319103</v>
      </c>
      <c r="K129">
        <v>-0.42805767</v>
      </c>
      <c r="L129">
        <v>-0.86259054999999996</v>
      </c>
    </row>
    <row r="130" spans="1:12" x14ac:dyDescent="0.3">
      <c r="A130">
        <f>ReLU!$DY$155</f>
        <v>0</v>
      </c>
      <c r="C130">
        <v>0.25462220000000002</v>
      </c>
      <c r="D130">
        <v>-0.75608706000000003</v>
      </c>
      <c r="E130">
        <v>-0.73627955</v>
      </c>
      <c r="F130">
        <v>-1.1563154000000001E-2</v>
      </c>
      <c r="G130">
        <v>-0.21727347</v>
      </c>
      <c r="H130">
        <v>-0.15446153000000001</v>
      </c>
      <c r="I130">
        <v>0.26938014999999998</v>
      </c>
      <c r="J130">
        <v>0.35077456000000001</v>
      </c>
      <c r="K130">
        <v>-0.25814182000000002</v>
      </c>
      <c r="L130">
        <v>-0.44454043999999998</v>
      </c>
    </row>
    <row r="131" spans="1:12" x14ac:dyDescent="0.3">
      <c r="A131">
        <f>ReLU!$DZ$155</f>
        <v>1.6602317978000003</v>
      </c>
      <c r="C131">
        <v>-1.0984688</v>
      </c>
      <c r="D131">
        <v>0.27924690000000002</v>
      </c>
      <c r="E131">
        <v>0.20398155000000001</v>
      </c>
      <c r="F131">
        <v>0.64022743999999998</v>
      </c>
      <c r="G131">
        <v>-0.37997037</v>
      </c>
      <c r="H131">
        <v>-0.69166399999999995</v>
      </c>
      <c r="I131">
        <v>-1.2426374</v>
      </c>
      <c r="J131">
        <v>-0.29721573000000001</v>
      </c>
      <c r="K131">
        <v>-0.20002769000000001</v>
      </c>
      <c r="L131">
        <v>0.23498558999999999</v>
      </c>
    </row>
    <row r="133" spans="1:12" ht="23.4" x14ac:dyDescent="0.45">
      <c r="C133" s="1" t="s">
        <v>11</v>
      </c>
    </row>
    <row r="134" spans="1:12" x14ac:dyDescent="0.3">
      <c r="C134" t="s">
        <v>7</v>
      </c>
      <c r="D134" t="s">
        <v>8</v>
      </c>
      <c r="E134" t="s">
        <v>9</v>
      </c>
      <c r="F134" t="s">
        <v>10</v>
      </c>
      <c r="G134" t="s">
        <v>20</v>
      </c>
      <c r="H134" t="s">
        <v>21</v>
      </c>
      <c r="I134" t="s">
        <v>22</v>
      </c>
      <c r="J134" t="s">
        <v>23</v>
      </c>
      <c r="K134" t="s">
        <v>24</v>
      </c>
      <c r="L134" t="s">
        <v>25</v>
      </c>
    </row>
    <row r="135" spans="1:12" x14ac:dyDescent="0.3">
      <c r="C135">
        <v>-0.114057146</v>
      </c>
      <c r="D135">
        <v>0.23021430000000001</v>
      </c>
      <c r="E135">
        <v>-6.2754439999999995E-2</v>
      </c>
      <c r="F135">
        <v>-0.11903344</v>
      </c>
      <c r="G135">
        <v>4.5449576999999998E-2</v>
      </c>
      <c r="H135">
        <v>-7.5424686000000005E-2</v>
      </c>
      <c r="I135">
        <v>5.4375886999999998E-2</v>
      </c>
      <c r="J135">
        <v>-4.5769740000000003E-2</v>
      </c>
      <c r="K135">
        <v>3.7766330000000002E-3</v>
      </c>
      <c r="L135">
        <v>1.1327232E-2</v>
      </c>
    </row>
    <row r="137" spans="1:12" ht="23.4" x14ac:dyDescent="0.45">
      <c r="C137" s="1" t="s">
        <v>302</v>
      </c>
    </row>
    <row r="138" spans="1:12" x14ac:dyDescent="0.3">
      <c r="C138" t="s">
        <v>3</v>
      </c>
      <c r="D138" t="s">
        <v>4</v>
      </c>
      <c r="E138" t="s">
        <v>5</v>
      </c>
      <c r="F138" t="s">
        <v>6</v>
      </c>
      <c r="G138" t="s">
        <v>12</v>
      </c>
      <c r="H138" t="s">
        <v>13</v>
      </c>
      <c r="I138" t="s">
        <v>14</v>
      </c>
      <c r="J138" t="s">
        <v>15</v>
      </c>
      <c r="K138" t="s">
        <v>16</v>
      </c>
      <c r="L138" t="s">
        <v>17</v>
      </c>
    </row>
    <row r="139" spans="1:12" x14ac:dyDescent="0.3">
      <c r="C139" cm="1">
        <f t="array" ref="C139">SUMPRODUCT(Table9[n_01],Table7[Input])+Table10[b1]</f>
        <v>-13.457339231462292</v>
      </c>
      <c r="D139" cm="1">
        <f t="array" ref="D139">SUMPRODUCT(Table9[n_02],Table7[Input])+Table10[b2]</f>
        <v>2.3655925683145447</v>
      </c>
      <c r="E139" cm="1">
        <f t="array" ref="E139">SUMPRODUCT(Table9[n_03],Table7[Input])+Table10[b3]</f>
        <v>-0.54727693486710272</v>
      </c>
      <c r="F139" cm="1">
        <f t="array" ref="F139">SUMPRODUCT(Table9[n_04],Table7[Input])+Table10[b4]</f>
        <v>-0.25514203117753836</v>
      </c>
      <c r="G139" cm="1">
        <f t="array" ref="G139">SUMPRODUCT(Table9[n_05],Table7[Input])+Table10[b5]</f>
        <v>-8.3073340846602246</v>
      </c>
      <c r="H139" cm="1">
        <f t="array" ref="H139">SUMPRODUCT(Table9[n_06],Table7[Input])+Table10[b6]</f>
        <v>-7.9103304021112404</v>
      </c>
      <c r="I139" cm="1">
        <f t="array" ref="I139">SUMPRODUCT(Table9[n_07],Table7[Input])+Table10[b7]</f>
        <v>-13.299447569473971</v>
      </c>
      <c r="J139" cm="1">
        <f t="array" ref="J139">SUMPRODUCT(Table9[n_08],Table7[Input])+Table10[b8]</f>
        <v>-5.7911115909622284</v>
      </c>
      <c r="K139" cm="1">
        <f t="array" ref="K139">SUMPRODUCT(Table9[n_09],Table7[Input])+Table10[b9]</f>
        <v>-3.4314031733059256</v>
      </c>
      <c r="L139" cm="1">
        <f t="array" ref="L139">SUMPRODUCT(Table9[n_10],Table7[Input])+Table10[b10]</f>
        <v>-10.676317310775023</v>
      </c>
    </row>
    <row r="141" spans="1:12" ht="23.4" x14ac:dyDescent="0.45">
      <c r="C141" s="1" t="s">
        <v>2</v>
      </c>
    </row>
    <row r="142" spans="1:12" x14ac:dyDescent="0.3">
      <c r="C142" s="30" cm="1">
        <f t="array" ref="C142:L142">EXP(Table11[]-MAX(Table11[]))/SUM(EXP(Table11[]-MAX(Table11[])))</f>
        <v>1.1883262243683389E-7</v>
      </c>
      <c r="D142" s="30">
        <v>0.88460145538753443</v>
      </c>
      <c r="E142" s="30">
        <v>4.8051228754358015E-2</v>
      </c>
      <c r="F142" s="30">
        <v>6.4354226463260625E-2</v>
      </c>
      <c r="G142" s="30">
        <v>2.0490591645791382E-5</v>
      </c>
      <c r="H142" s="30">
        <v>3.0476915227154132E-5</v>
      </c>
      <c r="I142" s="30">
        <v>1.3915767334415506E-7</v>
      </c>
      <c r="J142" s="30">
        <v>2.5370909880472863E-4</v>
      </c>
      <c r="K142" s="30">
        <v>2.6862373748887032E-3</v>
      </c>
      <c r="L142" s="30">
        <v>1.9174239847416902E-6</v>
      </c>
    </row>
  </sheetData>
  <conditionalFormatting sqref="C142:L1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46C18-4CE6-46F0-84BF-CF0D931EC97F}">
  <sheetPr codeName="Sheet4">
    <tabColor theme="6"/>
  </sheetPr>
  <dimension ref="A1:B145"/>
  <sheetViews>
    <sheetView workbookViewId="0">
      <selection activeCell="D5" sqref="D5"/>
    </sheetView>
  </sheetViews>
  <sheetFormatPr defaultRowHeight="14.4" x14ac:dyDescent="0.3"/>
  <cols>
    <col min="1" max="1" width="9.109375" bestFit="1" customWidth="1"/>
  </cols>
  <sheetData>
    <row r="1" spans="1:2" x14ac:dyDescent="0.3">
      <c r="A1" s="5" t="s">
        <v>107</v>
      </c>
      <c r="B1" s="5" t="s">
        <v>105</v>
      </c>
    </row>
    <row r="2" spans="1:2" x14ac:dyDescent="0.3">
      <c r="A2" s="28" t="s">
        <v>108</v>
      </c>
      <c r="B2" s="5">
        <f>Board!$B$2</f>
        <v>0</v>
      </c>
    </row>
    <row r="3" spans="1:2" x14ac:dyDescent="0.3">
      <c r="A3" s="28" t="s">
        <v>109</v>
      </c>
      <c r="B3" s="5">
        <f>Board!$C$2</f>
        <v>0</v>
      </c>
    </row>
    <row r="4" spans="1:2" x14ac:dyDescent="0.3">
      <c r="A4" s="28" t="s">
        <v>110</v>
      </c>
      <c r="B4" s="5">
        <f>Board!$D$2</f>
        <v>0</v>
      </c>
    </row>
    <row r="5" spans="1:2" x14ac:dyDescent="0.3">
      <c r="A5" s="28" t="s">
        <v>111</v>
      </c>
      <c r="B5" s="5">
        <f>Board!$E$2</f>
        <v>0</v>
      </c>
    </row>
    <row r="6" spans="1:2" x14ac:dyDescent="0.3">
      <c r="A6" s="28" t="s">
        <v>112</v>
      </c>
      <c r="B6" s="5">
        <f>Board!$F$2</f>
        <v>0</v>
      </c>
    </row>
    <row r="7" spans="1:2" x14ac:dyDescent="0.3">
      <c r="A7" s="28" t="s">
        <v>113</v>
      </c>
      <c r="B7" s="5">
        <f>Board!$G$2</f>
        <v>0</v>
      </c>
    </row>
    <row r="8" spans="1:2" x14ac:dyDescent="0.3">
      <c r="A8" s="28" t="s">
        <v>114</v>
      </c>
      <c r="B8" s="5">
        <f>Board!$H$2</f>
        <v>0</v>
      </c>
    </row>
    <row r="9" spans="1:2" x14ac:dyDescent="0.3">
      <c r="A9" s="28" t="s">
        <v>115</v>
      </c>
      <c r="B9" s="5">
        <f>Board!$I$2</f>
        <v>0</v>
      </c>
    </row>
    <row r="10" spans="1:2" x14ac:dyDescent="0.3">
      <c r="A10" s="28" t="s">
        <v>116</v>
      </c>
      <c r="B10" s="5">
        <f>Board!$J$2</f>
        <v>0</v>
      </c>
    </row>
    <row r="11" spans="1:2" x14ac:dyDescent="0.3">
      <c r="A11" s="28" t="s">
        <v>117</v>
      </c>
      <c r="B11" s="5">
        <f>Board!$K$2</f>
        <v>0</v>
      </c>
    </row>
    <row r="12" spans="1:2" x14ac:dyDescent="0.3">
      <c r="A12" s="28" t="s">
        <v>118</v>
      </c>
      <c r="B12" s="5">
        <f>Board!$L$2</f>
        <v>0</v>
      </c>
    </row>
    <row r="13" spans="1:2" x14ac:dyDescent="0.3">
      <c r="A13" s="28" t="s">
        <v>119</v>
      </c>
      <c r="B13" s="5">
        <f>Board!$M$2</f>
        <v>0</v>
      </c>
    </row>
    <row r="14" spans="1:2" x14ac:dyDescent="0.3">
      <c r="A14" s="28" t="s">
        <v>120</v>
      </c>
      <c r="B14" s="5">
        <f>Board!$B$3</f>
        <v>0</v>
      </c>
    </row>
    <row r="15" spans="1:2" x14ac:dyDescent="0.3">
      <c r="A15" s="28" t="s">
        <v>121</v>
      </c>
      <c r="B15" s="5">
        <f>Board!$C$3</f>
        <v>0</v>
      </c>
    </row>
    <row r="16" spans="1:2" x14ac:dyDescent="0.3">
      <c r="A16" s="28" t="s">
        <v>122</v>
      </c>
      <c r="B16" s="5">
        <f>Board!$D$3</f>
        <v>0</v>
      </c>
    </row>
    <row r="17" spans="1:2" x14ac:dyDescent="0.3">
      <c r="A17" s="28" t="s">
        <v>123</v>
      </c>
      <c r="B17" s="5">
        <f>Board!$E$3</f>
        <v>0</v>
      </c>
    </row>
    <row r="18" spans="1:2" x14ac:dyDescent="0.3">
      <c r="A18" s="28" t="s">
        <v>124</v>
      </c>
      <c r="B18" s="5">
        <f>Board!$F$3</f>
        <v>0</v>
      </c>
    </row>
    <row r="19" spans="1:2" x14ac:dyDescent="0.3">
      <c r="A19" s="28" t="s">
        <v>125</v>
      </c>
      <c r="B19" s="5">
        <f>Board!$G$3</f>
        <v>1</v>
      </c>
    </row>
    <row r="20" spans="1:2" x14ac:dyDescent="0.3">
      <c r="A20" s="28" t="s">
        <v>126</v>
      </c>
      <c r="B20" s="5">
        <f>Board!$H$3</f>
        <v>1</v>
      </c>
    </row>
    <row r="21" spans="1:2" x14ac:dyDescent="0.3">
      <c r="A21" s="28" t="s">
        <v>127</v>
      </c>
      <c r="B21" s="5">
        <f>Board!$I$3</f>
        <v>1</v>
      </c>
    </row>
    <row r="22" spans="1:2" x14ac:dyDescent="0.3">
      <c r="A22" s="28" t="s">
        <v>128</v>
      </c>
      <c r="B22" s="5">
        <f>Board!$J$3</f>
        <v>0</v>
      </c>
    </row>
    <row r="23" spans="1:2" x14ac:dyDescent="0.3">
      <c r="A23" s="28" t="s">
        <v>129</v>
      </c>
      <c r="B23" s="5">
        <f>Board!$K$3</f>
        <v>0</v>
      </c>
    </row>
    <row r="24" spans="1:2" x14ac:dyDescent="0.3">
      <c r="A24" s="28" t="s">
        <v>130</v>
      </c>
      <c r="B24" s="5">
        <f>Board!$L$3</f>
        <v>0</v>
      </c>
    </row>
    <row r="25" spans="1:2" x14ac:dyDescent="0.3">
      <c r="A25" s="28" t="s">
        <v>131</v>
      </c>
      <c r="B25" s="5">
        <f>Board!$M$3</f>
        <v>0</v>
      </c>
    </row>
    <row r="26" spans="1:2" x14ac:dyDescent="0.3">
      <c r="A26" s="28" t="s">
        <v>132</v>
      </c>
      <c r="B26" s="5">
        <f>Board!$B$4</f>
        <v>0</v>
      </c>
    </row>
    <row r="27" spans="1:2" x14ac:dyDescent="0.3">
      <c r="A27" s="28" t="s">
        <v>133</v>
      </c>
      <c r="B27" s="5">
        <f>Board!$C$4</f>
        <v>0</v>
      </c>
    </row>
    <row r="28" spans="1:2" x14ac:dyDescent="0.3">
      <c r="A28" s="28" t="s">
        <v>134</v>
      </c>
      <c r="B28" s="5">
        <f>Board!$D$4</f>
        <v>0</v>
      </c>
    </row>
    <row r="29" spans="1:2" x14ac:dyDescent="0.3">
      <c r="A29" s="28" t="s">
        <v>135</v>
      </c>
      <c r="B29" s="5">
        <f>Board!$E$4</f>
        <v>0</v>
      </c>
    </row>
    <row r="30" spans="1:2" x14ac:dyDescent="0.3">
      <c r="A30" s="28" t="s">
        <v>136</v>
      </c>
      <c r="B30" s="5">
        <f>Board!$F$4</f>
        <v>1</v>
      </c>
    </row>
    <row r="31" spans="1:2" x14ac:dyDescent="0.3">
      <c r="A31" s="28" t="s">
        <v>137</v>
      </c>
      <c r="B31" s="5">
        <f>Board!$G$4</f>
        <v>0</v>
      </c>
    </row>
    <row r="32" spans="1:2" x14ac:dyDescent="0.3">
      <c r="A32" s="28" t="s">
        <v>138</v>
      </c>
      <c r="B32" s="5">
        <f>Board!$H$4</f>
        <v>1</v>
      </c>
    </row>
    <row r="33" spans="1:2" x14ac:dyDescent="0.3">
      <c r="A33" s="28" t="s">
        <v>139</v>
      </c>
      <c r="B33" s="5">
        <f>Board!$I$4</f>
        <v>0</v>
      </c>
    </row>
    <row r="34" spans="1:2" x14ac:dyDescent="0.3">
      <c r="A34" s="28" t="s">
        <v>140</v>
      </c>
      <c r="B34" s="5">
        <f>Board!$J$4</f>
        <v>0</v>
      </c>
    </row>
    <row r="35" spans="1:2" x14ac:dyDescent="0.3">
      <c r="A35" s="28" t="s">
        <v>141</v>
      </c>
      <c r="B35" s="5">
        <f>Board!$K$4</f>
        <v>0</v>
      </c>
    </row>
    <row r="36" spans="1:2" x14ac:dyDescent="0.3">
      <c r="A36" s="28" t="s">
        <v>142</v>
      </c>
      <c r="B36" s="5">
        <f>Board!$L$4</f>
        <v>0</v>
      </c>
    </row>
    <row r="37" spans="1:2" x14ac:dyDescent="0.3">
      <c r="A37" s="28" t="s">
        <v>143</v>
      </c>
      <c r="B37" s="5">
        <f>Board!$M$4</f>
        <v>0</v>
      </c>
    </row>
    <row r="38" spans="1:2" x14ac:dyDescent="0.3">
      <c r="A38" s="28" t="s">
        <v>144</v>
      </c>
      <c r="B38" s="5">
        <f>Board!$B$5</f>
        <v>0</v>
      </c>
    </row>
    <row r="39" spans="1:2" x14ac:dyDescent="0.3">
      <c r="A39" s="28" t="s">
        <v>145</v>
      </c>
      <c r="B39" s="5">
        <f>Board!$C$5</f>
        <v>0</v>
      </c>
    </row>
    <row r="40" spans="1:2" x14ac:dyDescent="0.3">
      <c r="A40" s="28" t="s">
        <v>146</v>
      </c>
      <c r="B40" s="5">
        <f>Board!$D$5</f>
        <v>1</v>
      </c>
    </row>
    <row r="41" spans="1:2" x14ac:dyDescent="0.3">
      <c r="A41" s="28" t="s">
        <v>147</v>
      </c>
      <c r="B41" s="5">
        <f>Board!$E$5</f>
        <v>1</v>
      </c>
    </row>
    <row r="42" spans="1:2" x14ac:dyDescent="0.3">
      <c r="A42" s="28" t="s">
        <v>148</v>
      </c>
      <c r="B42" s="5">
        <f>Board!$F$5</f>
        <v>0</v>
      </c>
    </row>
    <row r="43" spans="1:2" x14ac:dyDescent="0.3">
      <c r="A43" s="28" t="s">
        <v>149</v>
      </c>
      <c r="B43" s="5">
        <f>Board!$G$5</f>
        <v>0</v>
      </c>
    </row>
    <row r="44" spans="1:2" x14ac:dyDescent="0.3">
      <c r="A44" s="28" t="s">
        <v>150</v>
      </c>
      <c r="B44" s="5">
        <f>Board!$H$5</f>
        <v>1</v>
      </c>
    </row>
    <row r="45" spans="1:2" x14ac:dyDescent="0.3">
      <c r="A45" s="28" t="s">
        <v>151</v>
      </c>
      <c r="B45" s="5">
        <f>Board!$I$5</f>
        <v>0</v>
      </c>
    </row>
    <row r="46" spans="1:2" x14ac:dyDescent="0.3">
      <c r="A46" s="28" t="s">
        <v>152</v>
      </c>
      <c r="B46" s="5">
        <f>Board!$J$5</f>
        <v>0</v>
      </c>
    </row>
    <row r="47" spans="1:2" x14ac:dyDescent="0.3">
      <c r="A47" s="28" t="s">
        <v>153</v>
      </c>
      <c r="B47" s="5">
        <f>Board!$K$5</f>
        <v>0</v>
      </c>
    </row>
    <row r="48" spans="1:2" x14ac:dyDescent="0.3">
      <c r="A48" s="28" t="s">
        <v>154</v>
      </c>
      <c r="B48" s="5">
        <f>Board!$L$5</f>
        <v>0</v>
      </c>
    </row>
    <row r="49" spans="1:2" x14ac:dyDescent="0.3">
      <c r="A49" s="28" t="s">
        <v>155</v>
      </c>
      <c r="B49" s="5">
        <f>Board!$M$5</f>
        <v>0</v>
      </c>
    </row>
    <row r="50" spans="1:2" x14ac:dyDescent="0.3">
      <c r="A50" s="28" t="s">
        <v>156</v>
      </c>
      <c r="B50" s="5">
        <f>Board!$B$6</f>
        <v>0</v>
      </c>
    </row>
    <row r="51" spans="1:2" x14ac:dyDescent="0.3">
      <c r="A51" s="28" t="s">
        <v>157</v>
      </c>
      <c r="B51" s="5">
        <f>Board!$C$6</f>
        <v>0</v>
      </c>
    </row>
    <row r="52" spans="1:2" x14ac:dyDescent="0.3">
      <c r="A52" s="28" t="s">
        <v>158</v>
      </c>
      <c r="B52" s="5">
        <f>Board!$D$6</f>
        <v>0</v>
      </c>
    </row>
    <row r="53" spans="1:2" x14ac:dyDescent="0.3">
      <c r="A53" s="28" t="s">
        <v>159</v>
      </c>
      <c r="B53" s="5">
        <f>Board!$E$6</f>
        <v>0</v>
      </c>
    </row>
    <row r="54" spans="1:2" x14ac:dyDescent="0.3">
      <c r="A54" s="28" t="s">
        <v>160</v>
      </c>
      <c r="B54" s="5">
        <f>Board!$F$6</f>
        <v>0</v>
      </c>
    </row>
    <row r="55" spans="1:2" x14ac:dyDescent="0.3">
      <c r="A55" s="28" t="s">
        <v>161</v>
      </c>
      <c r="B55" s="5">
        <f>Board!$G$6</f>
        <v>0</v>
      </c>
    </row>
    <row r="56" spans="1:2" x14ac:dyDescent="0.3">
      <c r="A56" s="28" t="s">
        <v>162</v>
      </c>
      <c r="B56" s="5">
        <f>Board!$H$6</f>
        <v>1</v>
      </c>
    </row>
    <row r="57" spans="1:2" x14ac:dyDescent="0.3">
      <c r="A57" s="28" t="s">
        <v>163</v>
      </c>
      <c r="B57" s="5">
        <f>Board!$I$6</f>
        <v>0</v>
      </c>
    </row>
    <row r="58" spans="1:2" x14ac:dyDescent="0.3">
      <c r="A58" s="28" t="s">
        <v>164</v>
      </c>
      <c r="B58" s="5">
        <f>Board!$J$6</f>
        <v>0</v>
      </c>
    </row>
    <row r="59" spans="1:2" x14ac:dyDescent="0.3">
      <c r="A59" s="28" t="s">
        <v>165</v>
      </c>
      <c r="B59" s="5">
        <f>Board!$K$6</f>
        <v>0</v>
      </c>
    </row>
    <row r="60" spans="1:2" x14ac:dyDescent="0.3">
      <c r="A60" s="28" t="s">
        <v>166</v>
      </c>
      <c r="B60" s="5">
        <f>Board!$L$6</f>
        <v>0</v>
      </c>
    </row>
    <row r="61" spans="1:2" x14ac:dyDescent="0.3">
      <c r="A61" s="28" t="s">
        <v>167</v>
      </c>
      <c r="B61" s="5">
        <f>Board!$M$6</f>
        <v>0</v>
      </c>
    </row>
    <row r="62" spans="1:2" x14ac:dyDescent="0.3">
      <c r="A62" s="28" t="s">
        <v>168</v>
      </c>
      <c r="B62" s="5">
        <f>Board!$B$7</f>
        <v>0</v>
      </c>
    </row>
    <row r="63" spans="1:2" x14ac:dyDescent="0.3">
      <c r="A63" s="28" t="s">
        <v>169</v>
      </c>
      <c r="B63" s="5">
        <f>Board!$C$7</f>
        <v>0</v>
      </c>
    </row>
    <row r="64" spans="1:2" x14ac:dyDescent="0.3">
      <c r="A64" s="28" t="s">
        <v>170</v>
      </c>
      <c r="B64" s="5">
        <f>Board!$D$7</f>
        <v>0</v>
      </c>
    </row>
    <row r="65" spans="1:2" x14ac:dyDescent="0.3">
      <c r="A65" s="28" t="s">
        <v>171</v>
      </c>
      <c r="B65" s="5">
        <f>Board!$E$7</f>
        <v>0</v>
      </c>
    </row>
    <row r="66" spans="1:2" x14ac:dyDescent="0.3">
      <c r="A66" s="28" t="s">
        <v>172</v>
      </c>
      <c r="B66" s="5">
        <f>Board!$F$7</f>
        <v>0</v>
      </c>
    </row>
    <row r="67" spans="1:2" x14ac:dyDescent="0.3">
      <c r="A67" s="28" t="s">
        <v>173</v>
      </c>
      <c r="B67" s="5">
        <f>Board!$G$7</f>
        <v>0</v>
      </c>
    </row>
    <row r="68" spans="1:2" x14ac:dyDescent="0.3">
      <c r="A68" s="28" t="s">
        <v>174</v>
      </c>
      <c r="B68" s="5">
        <f>Board!$H$7</f>
        <v>1</v>
      </c>
    </row>
    <row r="69" spans="1:2" x14ac:dyDescent="0.3">
      <c r="A69" s="28" t="s">
        <v>175</v>
      </c>
      <c r="B69" s="5">
        <f>Board!$I$7</f>
        <v>0</v>
      </c>
    </row>
    <row r="70" spans="1:2" x14ac:dyDescent="0.3">
      <c r="A70" s="28" t="s">
        <v>176</v>
      </c>
      <c r="B70" s="5">
        <f>Board!$J$7</f>
        <v>0</v>
      </c>
    </row>
    <row r="71" spans="1:2" x14ac:dyDescent="0.3">
      <c r="A71" s="28" t="s">
        <v>177</v>
      </c>
      <c r="B71" s="5">
        <f>Board!$K$7</f>
        <v>0</v>
      </c>
    </row>
    <row r="72" spans="1:2" x14ac:dyDescent="0.3">
      <c r="A72" s="28" t="s">
        <v>178</v>
      </c>
      <c r="B72" s="5">
        <f>Board!$L$7</f>
        <v>0</v>
      </c>
    </row>
    <row r="73" spans="1:2" x14ac:dyDescent="0.3">
      <c r="A73" s="28" t="s">
        <v>179</v>
      </c>
      <c r="B73" s="5">
        <f>Board!$M$7</f>
        <v>0</v>
      </c>
    </row>
    <row r="74" spans="1:2" x14ac:dyDescent="0.3">
      <c r="A74" s="28" t="s">
        <v>180</v>
      </c>
      <c r="B74" s="5">
        <f>Board!$B$8</f>
        <v>0</v>
      </c>
    </row>
    <row r="75" spans="1:2" x14ac:dyDescent="0.3">
      <c r="A75" s="28" t="s">
        <v>181</v>
      </c>
      <c r="B75" s="5">
        <f>Board!$C$8</f>
        <v>0</v>
      </c>
    </row>
    <row r="76" spans="1:2" x14ac:dyDescent="0.3">
      <c r="A76" s="28" t="s">
        <v>182</v>
      </c>
      <c r="B76" s="5">
        <f>Board!$D$8</f>
        <v>0</v>
      </c>
    </row>
    <row r="77" spans="1:2" x14ac:dyDescent="0.3">
      <c r="A77" s="28" t="s">
        <v>183</v>
      </c>
      <c r="B77" s="5">
        <f>Board!$E$8</f>
        <v>0</v>
      </c>
    </row>
    <row r="78" spans="1:2" x14ac:dyDescent="0.3">
      <c r="A78" s="28" t="s">
        <v>184</v>
      </c>
      <c r="B78" s="5">
        <f>Board!$F$8</f>
        <v>0</v>
      </c>
    </row>
    <row r="79" spans="1:2" x14ac:dyDescent="0.3">
      <c r="A79" s="28" t="s">
        <v>185</v>
      </c>
      <c r="B79" s="5">
        <f>Board!$G$8</f>
        <v>0</v>
      </c>
    </row>
    <row r="80" spans="1:2" x14ac:dyDescent="0.3">
      <c r="A80" s="28" t="s">
        <v>186</v>
      </c>
      <c r="B80" s="5">
        <f>Board!$H$8</f>
        <v>1</v>
      </c>
    </row>
    <row r="81" spans="1:2" x14ac:dyDescent="0.3">
      <c r="A81" s="28" t="s">
        <v>187</v>
      </c>
      <c r="B81" s="5">
        <f>Board!$I$8</f>
        <v>0</v>
      </c>
    </row>
    <row r="82" spans="1:2" x14ac:dyDescent="0.3">
      <c r="A82" s="28" t="s">
        <v>188</v>
      </c>
      <c r="B82" s="5">
        <f>Board!$J$8</f>
        <v>0</v>
      </c>
    </row>
    <row r="83" spans="1:2" x14ac:dyDescent="0.3">
      <c r="A83" s="28" t="s">
        <v>189</v>
      </c>
      <c r="B83" s="5">
        <f>Board!$K$8</f>
        <v>0</v>
      </c>
    </row>
    <row r="84" spans="1:2" x14ac:dyDescent="0.3">
      <c r="A84" s="28" t="s">
        <v>190</v>
      </c>
      <c r="B84" s="5">
        <f>Board!$L$8</f>
        <v>0</v>
      </c>
    </row>
    <row r="85" spans="1:2" x14ac:dyDescent="0.3">
      <c r="A85" s="28" t="s">
        <v>191</v>
      </c>
      <c r="B85" s="5">
        <f>Board!$M$8</f>
        <v>0</v>
      </c>
    </row>
    <row r="86" spans="1:2" x14ac:dyDescent="0.3">
      <c r="A86" s="28" t="s">
        <v>192</v>
      </c>
      <c r="B86" s="5">
        <f>Board!$B$9</f>
        <v>0</v>
      </c>
    </row>
    <row r="87" spans="1:2" x14ac:dyDescent="0.3">
      <c r="A87" s="28" t="s">
        <v>193</v>
      </c>
      <c r="B87" s="5">
        <f>Board!$C$9</f>
        <v>0</v>
      </c>
    </row>
    <row r="88" spans="1:2" x14ac:dyDescent="0.3">
      <c r="A88" s="28" t="s">
        <v>194</v>
      </c>
      <c r="B88" s="5">
        <f>Board!$D$9</f>
        <v>0</v>
      </c>
    </row>
    <row r="89" spans="1:2" x14ac:dyDescent="0.3">
      <c r="A89" s="28" t="s">
        <v>195</v>
      </c>
      <c r="B89" s="5">
        <f>Board!$E$9</f>
        <v>0</v>
      </c>
    </row>
    <row r="90" spans="1:2" x14ac:dyDescent="0.3">
      <c r="A90" s="28" t="s">
        <v>196</v>
      </c>
      <c r="B90" s="5">
        <f>Board!$F$9</f>
        <v>0</v>
      </c>
    </row>
    <row r="91" spans="1:2" x14ac:dyDescent="0.3">
      <c r="A91" s="28" t="s">
        <v>197</v>
      </c>
      <c r="B91" s="5">
        <f>Board!$G$9</f>
        <v>0</v>
      </c>
    </row>
    <row r="92" spans="1:2" x14ac:dyDescent="0.3">
      <c r="A92" s="28" t="s">
        <v>198</v>
      </c>
      <c r="B92" s="5">
        <f>Board!$H$9</f>
        <v>1</v>
      </c>
    </row>
    <row r="93" spans="1:2" x14ac:dyDescent="0.3">
      <c r="A93" s="28" t="s">
        <v>199</v>
      </c>
      <c r="B93" s="5">
        <f>Board!$I$9</f>
        <v>0</v>
      </c>
    </row>
    <row r="94" spans="1:2" x14ac:dyDescent="0.3">
      <c r="A94" s="28" t="s">
        <v>200</v>
      </c>
      <c r="B94" s="5">
        <f>Board!$J$9</f>
        <v>0</v>
      </c>
    </row>
    <row r="95" spans="1:2" x14ac:dyDescent="0.3">
      <c r="A95" s="28" t="s">
        <v>201</v>
      </c>
      <c r="B95" s="5">
        <f>Board!$K$9</f>
        <v>0</v>
      </c>
    </row>
    <row r="96" spans="1:2" x14ac:dyDescent="0.3">
      <c r="A96" s="28" t="s">
        <v>202</v>
      </c>
      <c r="B96" s="5">
        <f>Board!$L$9</f>
        <v>0</v>
      </c>
    </row>
    <row r="97" spans="1:2" x14ac:dyDescent="0.3">
      <c r="A97" s="28" t="s">
        <v>203</v>
      </c>
      <c r="B97" s="5">
        <f>Board!$M$9</f>
        <v>0</v>
      </c>
    </row>
    <row r="98" spans="1:2" x14ac:dyDescent="0.3">
      <c r="A98" s="28" t="s">
        <v>204</v>
      </c>
      <c r="B98" s="5">
        <f>Board!$B$10</f>
        <v>0</v>
      </c>
    </row>
    <row r="99" spans="1:2" x14ac:dyDescent="0.3">
      <c r="A99" s="28" t="s">
        <v>205</v>
      </c>
      <c r="B99" s="5">
        <f>Board!$C$10</f>
        <v>0</v>
      </c>
    </row>
    <row r="100" spans="1:2" x14ac:dyDescent="0.3">
      <c r="A100" s="28" t="s">
        <v>206</v>
      </c>
      <c r="B100" s="5">
        <f>Board!$D$10</f>
        <v>0</v>
      </c>
    </row>
    <row r="101" spans="1:2" x14ac:dyDescent="0.3">
      <c r="A101" s="28" t="s">
        <v>207</v>
      </c>
      <c r="B101" s="5">
        <f>Board!$E$10</f>
        <v>0</v>
      </c>
    </row>
    <row r="102" spans="1:2" x14ac:dyDescent="0.3">
      <c r="A102" s="28" t="s">
        <v>208</v>
      </c>
      <c r="B102" s="5">
        <f>Board!$F$10</f>
        <v>0</v>
      </c>
    </row>
    <row r="103" spans="1:2" x14ac:dyDescent="0.3">
      <c r="A103" s="28" t="s">
        <v>209</v>
      </c>
      <c r="B103" s="5">
        <f>Board!$G$10</f>
        <v>0</v>
      </c>
    </row>
    <row r="104" spans="1:2" x14ac:dyDescent="0.3">
      <c r="A104" s="28" t="s">
        <v>210</v>
      </c>
      <c r="B104" s="5">
        <f>Board!$H$10</f>
        <v>1</v>
      </c>
    </row>
    <row r="105" spans="1:2" x14ac:dyDescent="0.3">
      <c r="A105" s="28" t="s">
        <v>211</v>
      </c>
      <c r="B105" s="5">
        <f>Board!$I$10</f>
        <v>0</v>
      </c>
    </row>
    <row r="106" spans="1:2" x14ac:dyDescent="0.3">
      <c r="A106" s="28" t="s">
        <v>212</v>
      </c>
      <c r="B106" s="5">
        <f>Board!$J$10</f>
        <v>0</v>
      </c>
    </row>
    <row r="107" spans="1:2" x14ac:dyDescent="0.3">
      <c r="A107" s="28" t="s">
        <v>213</v>
      </c>
      <c r="B107" s="5">
        <f>Board!$K$10</f>
        <v>0</v>
      </c>
    </row>
    <row r="108" spans="1:2" x14ac:dyDescent="0.3">
      <c r="A108" s="28" t="s">
        <v>214</v>
      </c>
      <c r="B108" s="5">
        <f>Board!$L$10</f>
        <v>0</v>
      </c>
    </row>
    <row r="109" spans="1:2" x14ac:dyDescent="0.3">
      <c r="A109" s="28" t="s">
        <v>215</v>
      </c>
      <c r="B109" s="5">
        <f>Board!$M$10</f>
        <v>0</v>
      </c>
    </row>
    <row r="110" spans="1:2" x14ac:dyDescent="0.3">
      <c r="A110" s="28" t="s">
        <v>216</v>
      </c>
      <c r="B110" s="5">
        <f>Board!$B$11</f>
        <v>0</v>
      </c>
    </row>
    <row r="111" spans="1:2" x14ac:dyDescent="0.3">
      <c r="A111" s="28" t="s">
        <v>217</v>
      </c>
      <c r="B111" s="5">
        <f>Board!$C$11</f>
        <v>0</v>
      </c>
    </row>
    <row r="112" spans="1:2" x14ac:dyDescent="0.3">
      <c r="A112" s="28" t="s">
        <v>218</v>
      </c>
      <c r="B112" s="5">
        <f>Board!$D$11</f>
        <v>0</v>
      </c>
    </row>
    <row r="113" spans="1:2" x14ac:dyDescent="0.3">
      <c r="A113" s="28" t="s">
        <v>219</v>
      </c>
      <c r="B113" s="5">
        <f>Board!$E$11</f>
        <v>0</v>
      </c>
    </row>
    <row r="114" spans="1:2" x14ac:dyDescent="0.3">
      <c r="A114" s="28" t="s">
        <v>220</v>
      </c>
      <c r="B114" s="5">
        <f>Board!$F$11</f>
        <v>0</v>
      </c>
    </row>
    <row r="115" spans="1:2" x14ac:dyDescent="0.3">
      <c r="A115" s="28" t="s">
        <v>221</v>
      </c>
      <c r="B115" s="5">
        <f>Board!$G$11</f>
        <v>0</v>
      </c>
    </row>
    <row r="116" spans="1:2" x14ac:dyDescent="0.3">
      <c r="A116" s="28" t="s">
        <v>222</v>
      </c>
      <c r="B116" s="5">
        <f>Board!$H$11</f>
        <v>1</v>
      </c>
    </row>
    <row r="117" spans="1:2" x14ac:dyDescent="0.3">
      <c r="A117" s="28" t="s">
        <v>223</v>
      </c>
      <c r="B117" s="5">
        <f>Board!$I$11</f>
        <v>0</v>
      </c>
    </row>
    <row r="118" spans="1:2" x14ac:dyDescent="0.3">
      <c r="A118" s="28" t="s">
        <v>224</v>
      </c>
      <c r="B118" s="5">
        <f>Board!$J$11</f>
        <v>0</v>
      </c>
    </row>
    <row r="119" spans="1:2" x14ac:dyDescent="0.3">
      <c r="A119" s="28" t="s">
        <v>225</v>
      </c>
      <c r="B119" s="5">
        <f>Board!$K$11</f>
        <v>0</v>
      </c>
    </row>
    <row r="120" spans="1:2" x14ac:dyDescent="0.3">
      <c r="A120" s="28" t="s">
        <v>226</v>
      </c>
      <c r="B120" s="5">
        <f>Board!$L$11</f>
        <v>0</v>
      </c>
    </row>
    <row r="121" spans="1:2" x14ac:dyDescent="0.3">
      <c r="A121" s="28" t="s">
        <v>227</v>
      </c>
      <c r="B121" s="5">
        <f>Board!$M$11</f>
        <v>0</v>
      </c>
    </row>
    <row r="122" spans="1:2" x14ac:dyDescent="0.3">
      <c r="A122" s="28" t="s">
        <v>228</v>
      </c>
      <c r="B122" s="5">
        <f>Board!$B$12</f>
        <v>0</v>
      </c>
    </row>
    <row r="123" spans="1:2" x14ac:dyDescent="0.3">
      <c r="A123" s="28" t="s">
        <v>229</v>
      </c>
      <c r="B123" s="5">
        <f>Board!$C$12</f>
        <v>0</v>
      </c>
    </row>
    <row r="124" spans="1:2" x14ac:dyDescent="0.3">
      <c r="A124" s="28" t="s">
        <v>230</v>
      </c>
      <c r="B124" s="5">
        <f>Board!$D$12</f>
        <v>0</v>
      </c>
    </row>
    <row r="125" spans="1:2" x14ac:dyDescent="0.3">
      <c r="A125" s="28" t="s">
        <v>231</v>
      </c>
      <c r="B125" s="5">
        <f>Board!$E$12</f>
        <v>0</v>
      </c>
    </row>
    <row r="126" spans="1:2" x14ac:dyDescent="0.3">
      <c r="A126" s="28" t="s">
        <v>232</v>
      </c>
      <c r="B126" s="5">
        <f>Board!$F$12</f>
        <v>0</v>
      </c>
    </row>
    <row r="127" spans="1:2" x14ac:dyDescent="0.3">
      <c r="A127" s="28" t="s">
        <v>233</v>
      </c>
      <c r="B127" s="5">
        <f>Board!$G$12</f>
        <v>1</v>
      </c>
    </row>
    <row r="128" spans="1:2" x14ac:dyDescent="0.3">
      <c r="A128" s="28" t="s">
        <v>234</v>
      </c>
      <c r="B128" s="5">
        <f>Board!$H$12</f>
        <v>1</v>
      </c>
    </row>
    <row r="129" spans="1:2" x14ac:dyDescent="0.3">
      <c r="A129" s="28" t="s">
        <v>235</v>
      </c>
      <c r="B129" s="5">
        <f>Board!$I$12</f>
        <v>1</v>
      </c>
    </row>
    <row r="130" spans="1:2" x14ac:dyDescent="0.3">
      <c r="A130" s="28" t="s">
        <v>236</v>
      </c>
      <c r="B130" s="5">
        <f>Board!$J$12</f>
        <v>0</v>
      </c>
    </row>
    <row r="131" spans="1:2" x14ac:dyDescent="0.3">
      <c r="A131" s="28" t="s">
        <v>237</v>
      </c>
      <c r="B131" s="5">
        <f>Board!$K$12</f>
        <v>0</v>
      </c>
    </row>
    <row r="132" spans="1:2" x14ac:dyDescent="0.3">
      <c r="A132" s="28" t="s">
        <v>238</v>
      </c>
      <c r="B132" s="5">
        <f>Board!$L$12</f>
        <v>0</v>
      </c>
    </row>
    <row r="133" spans="1:2" x14ac:dyDescent="0.3">
      <c r="A133" s="28" t="s">
        <v>239</v>
      </c>
      <c r="B133" s="5">
        <f>Board!$M$12</f>
        <v>0</v>
      </c>
    </row>
    <row r="134" spans="1:2" x14ac:dyDescent="0.3">
      <c r="A134" s="28" t="s">
        <v>240</v>
      </c>
      <c r="B134" s="5">
        <f>Board!$B$13</f>
        <v>0</v>
      </c>
    </row>
    <row r="135" spans="1:2" x14ac:dyDescent="0.3">
      <c r="A135" s="28" t="s">
        <v>241</v>
      </c>
      <c r="B135" s="5">
        <f>Board!$C$13</f>
        <v>0</v>
      </c>
    </row>
    <row r="136" spans="1:2" x14ac:dyDescent="0.3">
      <c r="A136" s="28" t="s">
        <v>242</v>
      </c>
      <c r="B136" s="5">
        <f>Board!$D$13</f>
        <v>0</v>
      </c>
    </row>
    <row r="137" spans="1:2" x14ac:dyDescent="0.3">
      <c r="A137" s="28" t="s">
        <v>243</v>
      </c>
      <c r="B137" s="5">
        <f>Board!$E$13</f>
        <v>0</v>
      </c>
    </row>
    <row r="138" spans="1:2" x14ac:dyDescent="0.3">
      <c r="A138" s="28" t="s">
        <v>244</v>
      </c>
      <c r="B138" s="5">
        <f>Board!$F$13</f>
        <v>0</v>
      </c>
    </row>
    <row r="139" spans="1:2" x14ac:dyDescent="0.3">
      <c r="A139" s="28" t="s">
        <v>245</v>
      </c>
      <c r="B139" s="5">
        <f>Board!$G$13</f>
        <v>0</v>
      </c>
    </row>
    <row r="140" spans="1:2" x14ac:dyDescent="0.3">
      <c r="A140" s="28" t="s">
        <v>246</v>
      </c>
      <c r="B140" s="5">
        <f>Board!$H$13</f>
        <v>0</v>
      </c>
    </row>
    <row r="141" spans="1:2" x14ac:dyDescent="0.3">
      <c r="A141" s="28" t="s">
        <v>247</v>
      </c>
      <c r="B141" s="5">
        <f>Board!$I$13</f>
        <v>0</v>
      </c>
    </row>
    <row r="142" spans="1:2" x14ac:dyDescent="0.3">
      <c r="A142" s="28" t="s">
        <v>248</v>
      </c>
      <c r="B142" s="5">
        <f>Board!$J$13</f>
        <v>0</v>
      </c>
    </row>
    <row r="143" spans="1:2" x14ac:dyDescent="0.3">
      <c r="A143" s="28" t="s">
        <v>249</v>
      </c>
      <c r="B143" s="5">
        <f>Board!$K$13</f>
        <v>0</v>
      </c>
    </row>
    <row r="144" spans="1:2" x14ac:dyDescent="0.3">
      <c r="A144" s="28" t="s">
        <v>250</v>
      </c>
      <c r="B144" s="5">
        <f>Board!$L$13</f>
        <v>0</v>
      </c>
    </row>
    <row r="145" spans="1:2" x14ac:dyDescent="0.3">
      <c r="A145" s="28" t="s">
        <v>251</v>
      </c>
      <c r="B145" s="5">
        <f>Board!$M$13</f>
        <v>0</v>
      </c>
    </row>
  </sheetData>
  <phoneticPr fontId="1" type="noConversion"/>
  <conditionalFormatting sqref="B2:B145">
    <cfRule type="cellIs" dxfId="4" priority="1" operator="notEqual">
      <formula>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Board</vt:lpstr>
      <vt:lpstr>ReLU</vt:lpstr>
      <vt:lpstr>Softmax</vt:lpstr>
      <vt:lpstr>Input</vt:lpstr>
      <vt:lpstr>board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</dc:creator>
  <cp:lastModifiedBy>Viktor</cp:lastModifiedBy>
  <dcterms:created xsi:type="dcterms:W3CDTF">2020-07-06T19:20:39Z</dcterms:created>
  <dcterms:modified xsi:type="dcterms:W3CDTF">2020-07-12T20:06:03Z</dcterms:modified>
</cp:coreProperties>
</file>